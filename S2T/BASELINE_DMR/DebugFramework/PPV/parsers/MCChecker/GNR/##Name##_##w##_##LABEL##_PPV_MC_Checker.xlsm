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Git\Automation\PPV\MCChecker\"/>
    </mc:Choice>
  </mc:AlternateContent>
  <xr:revisionPtr revIDLastSave="0" documentId="13_ncr:1_{9A0F8F86-4DFF-4070-88ED-4F7D9F522994}" xr6:coauthVersionLast="47" xr6:coauthVersionMax="47" xr10:uidLastSave="{00000000-0000-0000-0000-000000000000}"/>
  <bookViews>
    <workbookView xWindow="28680" yWindow="-120" windowWidth="29040" windowHeight="15720" activeTab="7" xr2:uid="{B6A3F570-C7B8-40A8-89EA-A952D4B6B916}"/>
  </bookViews>
  <sheets>
    <sheet name="CHA" sheetId="1" r:id="rId1"/>
    <sheet name="CORE" sheetId="2" r:id="rId2"/>
    <sheet name="PPV" sheetId="68" r:id="rId3"/>
    <sheet name="Units" sheetId="3" r:id="rId4"/>
    <sheet name="MC_data" sheetId="67" r:id="rId5"/>
    <sheet name="Check" sheetId="4" r:id="rId6"/>
    <sheet name="MCAs" sheetId="69" r:id="rId7"/>
    <sheet name="LLCs" sheetId="70" r:id="rId8"/>
  </sheets>
  <functionGroups builtInGroupCount="19"/>
  <definedNames>
    <definedName name="_xlnm._FilterDatabase" localSheetId="0" hidden="1">CHA!$A$1:$J$3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 i="70" l="1" a="1"/>
  <c r="H8" i="70" s="1"/>
  <c r="G8" i="70" a="1"/>
  <c r="G8" i="70" s="1"/>
  <c r="C1" i="70" l="1"/>
  <c r="C8" i="70" s="1" a="1"/>
  <c r="C8" i="70" s="1"/>
  <c r="C2" i="69"/>
  <c r="C3" i="69"/>
  <c r="C8" i="69" a="1"/>
  <c r="C8" i="69" s="1"/>
  <c r="E8" i="69" s="1" a="1"/>
  <c r="E8" i="69" s="1"/>
  <c r="B8" i="69" a="1"/>
  <c r="B8" i="69" s="1"/>
  <c r="A8" i="69" a="1"/>
  <c r="A8" i="69" s="1"/>
  <c r="AV5" i="4" a="1"/>
  <c r="AV5" i="4" s="1"/>
  <c r="AV6" i="4" a="1"/>
  <c r="AV6" i="4" s="1"/>
  <c r="AV7" i="4" a="1"/>
  <c r="AV7" i="4" s="1"/>
  <c r="AV8" i="4" a="1"/>
  <c r="AV8" i="4" s="1"/>
  <c r="AV9" i="4" a="1"/>
  <c r="AV9" i="4" s="1"/>
  <c r="AV10" i="4" a="1"/>
  <c r="AV10" i="4" s="1"/>
  <c r="AV11" i="4" a="1"/>
  <c r="AV11" i="4" s="1"/>
  <c r="AV12" i="4" a="1"/>
  <c r="AV12" i="4" s="1"/>
  <c r="AV13" i="4" a="1"/>
  <c r="AV13" i="4" s="1"/>
  <c r="AV14" i="4" a="1"/>
  <c r="AV14" i="4" s="1"/>
  <c r="AV15" i="4" a="1"/>
  <c r="AV15" i="4" s="1"/>
  <c r="AV16" i="4" a="1"/>
  <c r="AV16" i="4" s="1"/>
  <c r="AV17" i="4" a="1"/>
  <c r="AV17" i="4" s="1"/>
  <c r="AV18" i="4" a="1"/>
  <c r="AV18" i="4" s="1"/>
  <c r="AV19" i="4" a="1"/>
  <c r="AV19" i="4" s="1"/>
  <c r="AV20" i="4" a="1"/>
  <c r="AV20" i="4" s="1"/>
  <c r="AV21" i="4" a="1"/>
  <c r="AV21" i="4" s="1"/>
  <c r="AV22" i="4" a="1"/>
  <c r="AV22" i="4" s="1"/>
  <c r="AV23" i="4" a="1"/>
  <c r="AV23" i="4" s="1"/>
  <c r="AV24" i="4" a="1"/>
  <c r="AV24" i="4" s="1"/>
  <c r="AV25" i="4" a="1"/>
  <c r="AV25" i="4" s="1"/>
  <c r="AV26" i="4" a="1"/>
  <c r="AV26" i="4" s="1"/>
  <c r="AV27" i="4" a="1"/>
  <c r="AV27" i="4" s="1"/>
  <c r="AV28" i="4" a="1"/>
  <c r="AV28" i="4" s="1"/>
  <c r="AV29" i="4" a="1"/>
  <c r="AV29" i="4" s="1"/>
  <c r="AV30" i="4" a="1"/>
  <c r="AV30" i="4" s="1"/>
  <c r="AV31" i="4" a="1"/>
  <c r="AV31" i="4" s="1"/>
  <c r="AV32" i="4" a="1"/>
  <c r="AV32" i="4" s="1"/>
  <c r="AV33" i="4" a="1"/>
  <c r="AV33" i="4" s="1"/>
  <c r="AV34" i="4" a="1"/>
  <c r="AV34" i="4" s="1"/>
  <c r="AV35" i="4" a="1"/>
  <c r="AV35" i="4" s="1"/>
  <c r="AV36" i="4" a="1"/>
  <c r="AV36" i="4" s="1"/>
  <c r="AV37" i="4" a="1"/>
  <c r="AV37" i="4" s="1"/>
  <c r="AV38" i="4" a="1"/>
  <c r="AV38" i="4" s="1"/>
  <c r="AV39" i="4" a="1"/>
  <c r="AV39" i="4" s="1"/>
  <c r="AV40" i="4" a="1"/>
  <c r="AV40" i="4" s="1"/>
  <c r="AV41" i="4" a="1"/>
  <c r="AV41" i="4" s="1"/>
  <c r="AV42" i="4" a="1"/>
  <c r="AV42" i="4" s="1"/>
  <c r="AV43" i="4" a="1"/>
  <c r="AV43" i="4" s="1"/>
  <c r="AV44" i="4" a="1"/>
  <c r="AV44" i="4" s="1"/>
  <c r="AV45" i="4" a="1"/>
  <c r="AV45" i="4" s="1"/>
  <c r="AV46" i="4" a="1"/>
  <c r="AV46" i="4" s="1"/>
  <c r="AV47" i="4" a="1"/>
  <c r="AV47" i="4" s="1"/>
  <c r="AV48" i="4" a="1"/>
  <c r="AV48" i="4" s="1"/>
  <c r="AV49" i="4" a="1"/>
  <c r="AV49" i="4" s="1"/>
  <c r="AV50" i="4" a="1"/>
  <c r="AV50" i="4" s="1"/>
  <c r="AV51" i="4" a="1"/>
  <c r="AV51" i="4" s="1"/>
  <c r="AV52" i="4" a="1"/>
  <c r="AV52" i="4" s="1"/>
  <c r="AV53" i="4" a="1"/>
  <c r="AV53" i="4" s="1"/>
  <c r="AV54" i="4" a="1"/>
  <c r="AV54" i="4" s="1"/>
  <c r="AV55" i="4" a="1"/>
  <c r="AV55" i="4" s="1"/>
  <c r="AV56" i="4" a="1"/>
  <c r="AV56" i="4" s="1"/>
  <c r="AV57" i="4" a="1"/>
  <c r="AV57" i="4" s="1"/>
  <c r="AV58" i="4" a="1"/>
  <c r="AV58" i="4" s="1"/>
  <c r="AV59" i="4" a="1"/>
  <c r="AV59" i="4" s="1"/>
  <c r="AV60" i="4" a="1"/>
  <c r="AV60" i="4" s="1"/>
  <c r="AV61" i="4" a="1"/>
  <c r="AV61" i="4" s="1"/>
  <c r="AV62" i="4" a="1"/>
  <c r="AV62" i="4" s="1"/>
  <c r="AV63" i="4" a="1"/>
  <c r="AV63" i="4" s="1"/>
  <c r="AV64" i="4" a="1"/>
  <c r="AV64" i="4" s="1"/>
  <c r="AV65" i="4" a="1"/>
  <c r="AV65" i="4" s="1"/>
  <c r="AV66" i="4" a="1"/>
  <c r="AV66" i="4" s="1"/>
  <c r="AV67" i="4" a="1"/>
  <c r="AV67" i="4" s="1"/>
  <c r="AV68" i="4" a="1"/>
  <c r="AV68" i="4" s="1"/>
  <c r="AV69" i="4" a="1"/>
  <c r="AV69" i="4" s="1"/>
  <c r="AV70" i="4" a="1"/>
  <c r="AV70" i="4" s="1"/>
  <c r="AV71" i="4" a="1"/>
  <c r="AV71" i="4" s="1"/>
  <c r="AV72" i="4" a="1"/>
  <c r="AV72" i="4" s="1"/>
  <c r="AV73" i="4" a="1"/>
  <c r="AV73" i="4" s="1"/>
  <c r="AV74" i="4" a="1"/>
  <c r="AV74" i="4" s="1"/>
  <c r="AV75" i="4" a="1"/>
  <c r="AV75" i="4" s="1"/>
  <c r="AV76" i="4" a="1"/>
  <c r="AV76" i="4" s="1"/>
  <c r="AV77" i="4" a="1"/>
  <c r="AV77" i="4" s="1"/>
  <c r="AV78" i="4" a="1"/>
  <c r="AV78" i="4" s="1"/>
  <c r="AV79" i="4" a="1"/>
  <c r="AV79" i="4" s="1"/>
  <c r="AV80" i="4" a="1"/>
  <c r="AV80" i="4" s="1"/>
  <c r="AV81" i="4" a="1"/>
  <c r="AV81" i="4" s="1"/>
  <c r="AV82" i="4" a="1"/>
  <c r="AV82" i="4" s="1"/>
  <c r="AV83" i="4" a="1"/>
  <c r="AV83" i="4" s="1"/>
  <c r="AV84" i="4" a="1"/>
  <c r="AV84" i="4" s="1"/>
  <c r="AV85" i="4" a="1"/>
  <c r="AV85" i="4" s="1"/>
  <c r="AV86" i="4" a="1"/>
  <c r="AV86" i="4" s="1"/>
  <c r="AV87" i="4" a="1"/>
  <c r="AV87" i="4" s="1"/>
  <c r="AV88" i="4" a="1"/>
  <c r="AV88" i="4" s="1"/>
  <c r="AV89" i="4" a="1"/>
  <c r="AV89" i="4" s="1"/>
  <c r="AV90" i="4" a="1"/>
  <c r="AV90" i="4" s="1"/>
  <c r="AV91" i="4" a="1"/>
  <c r="AV91" i="4" s="1"/>
  <c r="AV92" i="4" a="1"/>
  <c r="AV92" i="4" s="1"/>
  <c r="AV93" i="4" a="1"/>
  <c r="AV93" i="4" s="1"/>
  <c r="AV94" i="4" a="1"/>
  <c r="AV94" i="4" s="1"/>
  <c r="AV95" i="4" a="1"/>
  <c r="AV95" i="4" s="1"/>
  <c r="AV96" i="4" a="1"/>
  <c r="AV96" i="4" s="1"/>
  <c r="AV97" i="4" a="1"/>
  <c r="AV97" i="4" s="1"/>
  <c r="AV98" i="4" a="1"/>
  <c r="AV98" i="4" s="1"/>
  <c r="AV99" i="4" a="1"/>
  <c r="AV99" i="4" s="1"/>
  <c r="AV100" i="4" a="1"/>
  <c r="AV100" i="4" s="1"/>
  <c r="AV101" i="4" a="1"/>
  <c r="AV101" i="4" s="1"/>
  <c r="AV102" i="4" a="1"/>
  <c r="AV102" i="4" s="1"/>
  <c r="AV103" i="4" a="1"/>
  <c r="AV103" i="4" s="1"/>
  <c r="AV104" i="4" a="1"/>
  <c r="AV104" i="4" s="1"/>
  <c r="AV105" i="4" a="1"/>
  <c r="AV105" i="4" s="1"/>
  <c r="AV106" i="4" a="1"/>
  <c r="AV106" i="4" s="1"/>
  <c r="AV107" i="4" a="1"/>
  <c r="AV107" i="4" s="1"/>
  <c r="AV108" i="4" a="1"/>
  <c r="AV108" i="4" s="1"/>
  <c r="AV109" i="4" a="1"/>
  <c r="AV109" i="4" s="1"/>
  <c r="AV110" i="4" a="1"/>
  <c r="AV110" i="4" s="1"/>
  <c r="AV111" i="4" a="1"/>
  <c r="AV111" i="4" s="1"/>
  <c r="AV112" i="4" a="1"/>
  <c r="AV112" i="4" s="1"/>
  <c r="AV113" i="4" a="1"/>
  <c r="AV113" i="4" s="1"/>
  <c r="AV114" i="4" a="1"/>
  <c r="AV114" i="4" s="1"/>
  <c r="AV115" i="4" a="1"/>
  <c r="AV115" i="4" s="1"/>
  <c r="AV116" i="4" a="1"/>
  <c r="AV116" i="4" s="1"/>
  <c r="AV117" i="4" a="1"/>
  <c r="AV117" i="4" s="1"/>
  <c r="AV118" i="4" a="1"/>
  <c r="AV118" i="4" s="1"/>
  <c r="AV119" i="4" a="1"/>
  <c r="AV119" i="4" s="1"/>
  <c r="AV120" i="4" a="1"/>
  <c r="AV120" i="4" s="1"/>
  <c r="AV121" i="4" a="1"/>
  <c r="AV121" i="4" s="1"/>
  <c r="AV122" i="4" a="1"/>
  <c r="AV122" i="4" s="1"/>
  <c r="AV123" i="4" a="1"/>
  <c r="AV123" i="4" s="1"/>
  <c r="AV124" i="4" a="1"/>
  <c r="AV124" i="4" s="1"/>
  <c r="AV125" i="4" a="1"/>
  <c r="AV125" i="4" s="1"/>
  <c r="AV126" i="4" a="1"/>
  <c r="AV126" i="4" s="1"/>
  <c r="AV127" i="4" a="1"/>
  <c r="AV127" i="4" s="1"/>
  <c r="AV128" i="4" a="1"/>
  <c r="AV128" i="4" s="1"/>
  <c r="AV129" i="4" a="1"/>
  <c r="AV129" i="4" s="1"/>
  <c r="AV130" i="4" a="1"/>
  <c r="AV130" i="4" s="1"/>
  <c r="AV131" i="4" a="1"/>
  <c r="AV131" i="4" s="1"/>
  <c r="AV132" i="4" a="1"/>
  <c r="AV132" i="4" s="1"/>
  <c r="AV133" i="4" a="1"/>
  <c r="AV133" i="4" s="1"/>
  <c r="AV134" i="4" a="1"/>
  <c r="AV134" i="4" s="1"/>
  <c r="AV135" i="4" a="1"/>
  <c r="AV135" i="4" s="1"/>
  <c r="AV136" i="4" a="1"/>
  <c r="AV136" i="4" s="1"/>
  <c r="AV137" i="4" a="1"/>
  <c r="AV137" i="4" s="1"/>
  <c r="AV138" i="4" a="1"/>
  <c r="AV138" i="4" s="1"/>
  <c r="AV139" i="4" a="1"/>
  <c r="AV139" i="4" s="1"/>
  <c r="AV140" i="4" a="1"/>
  <c r="AV140" i="4" s="1"/>
  <c r="AV141" i="4" a="1"/>
  <c r="AV141" i="4" s="1"/>
  <c r="AV142" i="4" a="1"/>
  <c r="AV142" i="4" s="1"/>
  <c r="AV143" i="4" a="1"/>
  <c r="AV143" i="4" s="1"/>
  <c r="AV144" i="4" a="1"/>
  <c r="AV144" i="4" s="1"/>
  <c r="AV145" i="4" a="1"/>
  <c r="AV145" i="4" s="1"/>
  <c r="AV146" i="4" a="1"/>
  <c r="AV146" i="4" s="1"/>
  <c r="AV147" i="4" a="1"/>
  <c r="AV147" i="4" s="1"/>
  <c r="AV148" i="4" a="1"/>
  <c r="AV148" i="4" s="1"/>
  <c r="AV149" i="4" a="1"/>
  <c r="AV149" i="4" s="1"/>
  <c r="AV150" i="4" a="1"/>
  <c r="AV150" i="4" s="1"/>
  <c r="AV151" i="4" a="1"/>
  <c r="AV151" i="4" s="1"/>
  <c r="AV152" i="4" a="1"/>
  <c r="AV152" i="4" s="1"/>
  <c r="AV153" i="4" a="1"/>
  <c r="AV153" i="4" s="1"/>
  <c r="AV154" i="4" a="1"/>
  <c r="AV154" i="4" s="1"/>
  <c r="AV155" i="4" a="1"/>
  <c r="AV155" i="4" s="1"/>
  <c r="AV156" i="4" a="1"/>
  <c r="AV156" i="4" s="1"/>
  <c r="AV157" i="4" a="1"/>
  <c r="AV157" i="4" s="1"/>
  <c r="AV158" i="4" a="1"/>
  <c r="AV158" i="4" s="1"/>
  <c r="AV159" i="4" a="1"/>
  <c r="AV159" i="4" s="1"/>
  <c r="AV160" i="4" a="1"/>
  <c r="AV160" i="4" s="1"/>
  <c r="AV161" i="4" a="1"/>
  <c r="AV161" i="4" s="1"/>
  <c r="AV162" i="4" a="1"/>
  <c r="AV162" i="4" s="1"/>
  <c r="AV163" i="4" a="1"/>
  <c r="AV163" i="4" s="1"/>
  <c r="AV164" i="4" a="1"/>
  <c r="AV164" i="4" s="1"/>
  <c r="AV165" i="4" a="1"/>
  <c r="AV165" i="4" s="1"/>
  <c r="AV166" i="4" a="1"/>
  <c r="AV166" i="4" s="1"/>
  <c r="AV167" i="4" a="1"/>
  <c r="AV167" i="4" s="1"/>
  <c r="AV168" i="4" a="1"/>
  <c r="AV168" i="4" s="1"/>
  <c r="AV169" i="4" a="1"/>
  <c r="AV169" i="4" s="1"/>
  <c r="AV170" i="4" a="1"/>
  <c r="AV170" i="4" s="1"/>
  <c r="AV171" i="4" a="1"/>
  <c r="AV171" i="4" s="1"/>
  <c r="AV172" i="4" a="1"/>
  <c r="AV172" i="4" s="1"/>
  <c r="AV173" i="4" a="1"/>
  <c r="AV173" i="4" s="1"/>
  <c r="AV174" i="4" a="1"/>
  <c r="AV174" i="4" s="1"/>
  <c r="AV175" i="4" a="1"/>
  <c r="AV175" i="4" s="1"/>
  <c r="AV176" i="4" a="1"/>
  <c r="AV176" i="4" s="1"/>
  <c r="AV177" i="4" a="1"/>
  <c r="AV177" i="4" s="1"/>
  <c r="AV178" i="4" a="1"/>
  <c r="AV178" i="4" s="1"/>
  <c r="AV179" i="4" a="1"/>
  <c r="AV179" i="4" s="1"/>
  <c r="AV180" i="4" a="1"/>
  <c r="AV180" i="4" s="1"/>
  <c r="AV181" i="4" a="1"/>
  <c r="AV181" i="4" s="1"/>
  <c r="AV182" i="4" a="1"/>
  <c r="AV182" i="4" s="1"/>
  <c r="AV183" i="4" a="1"/>
  <c r="AV183" i="4" s="1"/>
  <c r="AV184" i="4" a="1"/>
  <c r="AV184" i="4" s="1"/>
  <c r="AV4" i="4" a="1"/>
  <c r="AV4" i="4" s="1"/>
  <c r="AP5" i="4" a="1"/>
  <c r="AP5" i="4" s="1"/>
  <c r="AP6" i="4" a="1"/>
  <c r="AP6" i="4" s="1"/>
  <c r="AP7" i="4" a="1"/>
  <c r="AP7" i="4" s="1"/>
  <c r="AP8" i="4" a="1"/>
  <c r="AP8" i="4"/>
  <c r="AP9" i="4" a="1"/>
  <c r="AP9" i="4" s="1"/>
  <c r="AP10" i="4" a="1"/>
  <c r="AP10" i="4" s="1"/>
  <c r="AP11" i="4" a="1"/>
  <c r="AP11" i="4" s="1"/>
  <c r="AP12" i="4" a="1"/>
  <c r="AP12" i="4"/>
  <c r="AP13" i="4" a="1"/>
  <c r="AP13" i="4" s="1"/>
  <c r="AP14" i="4" a="1"/>
  <c r="AP14" i="4" s="1"/>
  <c r="AP15" i="4" a="1"/>
  <c r="AP15" i="4" s="1"/>
  <c r="AP16" i="4" a="1"/>
  <c r="AP16" i="4"/>
  <c r="AP17" i="4" a="1"/>
  <c r="AP17" i="4" s="1"/>
  <c r="AP18" i="4" a="1"/>
  <c r="AP18" i="4" s="1"/>
  <c r="AP19" i="4" a="1"/>
  <c r="AP19" i="4" s="1"/>
  <c r="AP20" i="4" a="1"/>
  <c r="AP20" i="4"/>
  <c r="AP21" i="4" a="1"/>
  <c r="AP21" i="4" s="1"/>
  <c r="AP22" i="4" a="1"/>
  <c r="AP22" i="4" s="1"/>
  <c r="AP23" i="4" a="1"/>
  <c r="AP23" i="4" s="1"/>
  <c r="AP24" i="4" a="1"/>
  <c r="AP24" i="4"/>
  <c r="AP25" i="4" a="1"/>
  <c r="AP25" i="4" s="1"/>
  <c r="AP26" i="4" a="1"/>
  <c r="AP26" i="4" s="1"/>
  <c r="AP27" i="4" a="1"/>
  <c r="AP27" i="4" s="1"/>
  <c r="AP28" i="4" a="1"/>
  <c r="AP28" i="4"/>
  <c r="AP29" i="4" a="1"/>
  <c r="AP29" i="4" s="1"/>
  <c r="AP30" i="4" a="1"/>
  <c r="AP30" i="4" s="1"/>
  <c r="AP31" i="4" a="1"/>
  <c r="AP31" i="4" s="1"/>
  <c r="AP32" i="4" a="1"/>
  <c r="AP32" i="4"/>
  <c r="AP33" i="4" a="1"/>
  <c r="AP33" i="4" s="1"/>
  <c r="AP34" i="4" a="1"/>
  <c r="AP34" i="4" s="1"/>
  <c r="AP35" i="4" a="1"/>
  <c r="AP35" i="4" s="1"/>
  <c r="AP36" i="4" a="1"/>
  <c r="AP36" i="4"/>
  <c r="AP37" i="4" a="1"/>
  <c r="AP37" i="4" s="1"/>
  <c r="AP38" i="4" a="1"/>
  <c r="AP38" i="4" s="1"/>
  <c r="AP39" i="4" a="1"/>
  <c r="AP39" i="4" s="1"/>
  <c r="AP40" i="4" a="1"/>
  <c r="AP40" i="4"/>
  <c r="AP41" i="4" a="1"/>
  <c r="AP41" i="4" s="1"/>
  <c r="AP42" i="4" a="1"/>
  <c r="AP42" i="4" s="1"/>
  <c r="AP43" i="4" a="1"/>
  <c r="AP43" i="4" s="1"/>
  <c r="AP44" i="4" a="1"/>
  <c r="AP44" i="4"/>
  <c r="AP45" i="4" a="1"/>
  <c r="AP45" i="4" s="1"/>
  <c r="AP46" i="4" a="1"/>
  <c r="AP46" i="4" s="1"/>
  <c r="AP47" i="4" a="1"/>
  <c r="AP47" i="4" s="1"/>
  <c r="AP48" i="4" a="1"/>
  <c r="AP48" i="4"/>
  <c r="AP49" i="4" a="1"/>
  <c r="AP49" i="4" s="1"/>
  <c r="AP50" i="4" a="1"/>
  <c r="AP50" i="4" s="1"/>
  <c r="AP51" i="4" a="1"/>
  <c r="AP51" i="4" s="1"/>
  <c r="AP52" i="4" a="1"/>
  <c r="AP52" i="4"/>
  <c r="AP53" i="4" a="1"/>
  <c r="AP53" i="4" s="1"/>
  <c r="AP54" i="4" a="1"/>
  <c r="AP54" i="4" s="1"/>
  <c r="AP55" i="4" a="1"/>
  <c r="AP55" i="4" s="1"/>
  <c r="AP56" i="4" a="1"/>
  <c r="AP56" i="4"/>
  <c r="AP57" i="4" a="1"/>
  <c r="AP57" i="4" s="1"/>
  <c r="AP58" i="4" a="1"/>
  <c r="AP58" i="4" s="1"/>
  <c r="AP59" i="4" a="1"/>
  <c r="AP59" i="4" s="1"/>
  <c r="AP60" i="4" a="1"/>
  <c r="AP60" i="4"/>
  <c r="AP61" i="4" a="1"/>
  <c r="AP61" i="4" s="1"/>
  <c r="AP62" i="4" a="1"/>
  <c r="AP62" i="4" s="1"/>
  <c r="AP63" i="4" a="1"/>
  <c r="AP63" i="4" s="1"/>
  <c r="AP64" i="4" a="1"/>
  <c r="AP64" i="4"/>
  <c r="AP65" i="4" a="1"/>
  <c r="AP65" i="4" s="1"/>
  <c r="AP66" i="4" a="1"/>
  <c r="AP66" i="4" s="1"/>
  <c r="AP67" i="4" a="1"/>
  <c r="AP67" i="4" s="1"/>
  <c r="AP68" i="4" a="1"/>
  <c r="AP68" i="4"/>
  <c r="AP69" i="4" a="1"/>
  <c r="AP69" i="4" s="1"/>
  <c r="AP70" i="4" a="1"/>
  <c r="AP70" i="4" s="1"/>
  <c r="AP71" i="4" a="1"/>
  <c r="AP71" i="4" s="1"/>
  <c r="AP72" i="4" a="1"/>
  <c r="AP72" i="4"/>
  <c r="AP73" i="4" a="1"/>
  <c r="AP73" i="4" s="1"/>
  <c r="AP74" i="4" a="1"/>
  <c r="AP74" i="4" s="1"/>
  <c r="AP75" i="4" a="1"/>
  <c r="AP75" i="4" s="1"/>
  <c r="AP76" i="4" a="1"/>
  <c r="AP76" i="4"/>
  <c r="AP77" i="4" a="1"/>
  <c r="AP77" i="4" s="1"/>
  <c r="AP78" i="4" a="1"/>
  <c r="AP78" i="4" s="1"/>
  <c r="AP79" i="4" a="1"/>
  <c r="AP79" i="4" s="1"/>
  <c r="AP80" i="4" a="1"/>
  <c r="AP80" i="4"/>
  <c r="AP81" i="4" a="1"/>
  <c r="AP81" i="4" s="1"/>
  <c r="AP82" i="4" a="1"/>
  <c r="AP82" i="4" s="1"/>
  <c r="AP83" i="4" a="1"/>
  <c r="AP83" i="4" s="1"/>
  <c r="AP84" i="4" a="1"/>
  <c r="AP84" i="4"/>
  <c r="AP85" i="4" a="1"/>
  <c r="AP85" i="4" s="1"/>
  <c r="AP86" i="4" a="1"/>
  <c r="AP86" i="4" s="1"/>
  <c r="AP87" i="4" a="1"/>
  <c r="AP87" i="4" s="1"/>
  <c r="AP88" i="4" a="1"/>
  <c r="AP88" i="4"/>
  <c r="AP89" i="4" a="1"/>
  <c r="AP89" i="4" s="1"/>
  <c r="AP90" i="4" a="1"/>
  <c r="AP90" i="4" s="1"/>
  <c r="AP91" i="4" a="1"/>
  <c r="AP91" i="4" s="1"/>
  <c r="AP92" i="4" a="1"/>
  <c r="AP92" i="4"/>
  <c r="AP93" i="4" a="1"/>
  <c r="AP93" i="4" s="1"/>
  <c r="AP94" i="4" a="1"/>
  <c r="AP94" i="4" s="1"/>
  <c r="AP95" i="4" a="1"/>
  <c r="AP95" i="4" s="1"/>
  <c r="AP96" i="4" a="1"/>
  <c r="AP96" i="4"/>
  <c r="AP97" i="4" a="1"/>
  <c r="AP97" i="4" s="1"/>
  <c r="AP98" i="4" a="1"/>
  <c r="AP98" i="4" s="1"/>
  <c r="AP99" i="4" a="1"/>
  <c r="AP99" i="4" s="1"/>
  <c r="AP100" i="4" a="1"/>
  <c r="AP100" i="4"/>
  <c r="AP101" i="4" a="1"/>
  <c r="AP101" i="4" s="1"/>
  <c r="AP102" i="4" a="1"/>
  <c r="AP102" i="4" s="1"/>
  <c r="AP103" i="4" a="1"/>
  <c r="AP103" i="4" s="1"/>
  <c r="AP104" i="4" a="1"/>
  <c r="AP104" i="4"/>
  <c r="AP105" i="4" a="1"/>
  <c r="AP105" i="4" s="1"/>
  <c r="AP106" i="4" a="1"/>
  <c r="AP106" i="4" s="1"/>
  <c r="AP107" i="4" a="1"/>
  <c r="AP107" i="4" s="1"/>
  <c r="AP108" i="4" a="1"/>
  <c r="AP108" i="4"/>
  <c r="AP109" i="4" a="1"/>
  <c r="AP109" i="4" s="1"/>
  <c r="AP110" i="4" a="1"/>
  <c r="AP110" i="4" s="1"/>
  <c r="AP111" i="4" a="1"/>
  <c r="AP111" i="4" s="1"/>
  <c r="AP112" i="4" a="1"/>
  <c r="AP112" i="4"/>
  <c r="AP113" i="4" a="1"/>
  <c r="AP113" i="4" s="1"/>
  <c r="AP114" i="4" a="1"/>
  <c r="AP114" i="4" s="1"/>
  <c r="AP115" i="4" a="1"/>
  <c r="AP115" i="4" s="1"/>
  <c r="AP116" i="4" a="1"/>
  <c r="AP116" i="4"/>
  <c r="AP117" i="4" a="1"/>
  <c r="AP117" i="4" s="1"/>
  <c r="AP118" i="4" a="1"/>
  <c r="AP118" i="4" s="1"/>
  <c r="AP119" i="4" a="1"/>
  <c r="AP119" i="4" s="1"/>
  <c r="AP120" i="4" a="1"/>
  <c r="AP120" i="4"/>
  <c r="AP121" i="4" a="1"/>
  <c r="AP121" i="4" s="1"/>
  <c r="AP122" i="4" a="1"/>
  <c r="AP122" i="4" s="1"/>
  <c r="AP123" i="4" a="1"/>
  <c r="AP123" i="4" s="1"/>
  <c r="AP124" i="4" a="1"/>
  <c r="AP124" i="4"/>
  <c r="AP125" i="4" a="1"/>
  <c r="AP125" i="4" s="1"/>
  <c r="AP126" i="4" a="1"/>
  <c r="AP126" i="4" s="1"/>
  <c r="AP127" i="4" a="1"/>
  <c r="AP127" i="4" s="1"/>
  <c r="AP128" i="4" a="1"/>
  <c r="AP128" i="4"/>
  <c r="AP129" i="4" a="1"/>
  <c r="AP129" i="4" s="1"/>
  <c r="AP130" i="4" a="1"/>
  <c r="AP130" i="4" s="1"/>
  <c r="AP131" i="4" a="1"/>
  <c r="AP131" i="4" s="1"/>
  <c r="AP132" i="4" a="1"/>
  <c r="AP132" i="4"/>
  <c r="AP133" i="4" a="1"/>
  <c r="AP133" i="4" s="1"/>
  <c r="AP134" i="4" a="1"/>
  <c r="AP134" i="4" s="1"/>
  <c r="AP135" i="4" a="1"/>
  <c r="AP135" i="4" s="1"/>
  <c r="AP136" i="4" a="1"/>
  <c r="AP136" i="4"/>
  <c r="AP137" i="4" a="1"/>
  <c r="AP137" i="4" s="1"/>
  <c r="AP138" i="4" a="1"/>
  <c r="AP138" i="4" s="1"/>
  <c r="AP139" i="4" a="1"/>
  <c r="AP139" i="4" s="1"/>
  <c r="AP140" i="4" a="1"/>
  <c r="AP140" i="4"/>
  <c r="AP141" i="4" a="1"/>
  <c r="AP141" i="4" s="1"/>
  <c r="AP142" i="4" a="1"/>
  <c r="AP142" i="4" s="1"/>
  <c r="AP143" i="4" a="1"/>
  <c r="AP143" i="4" s="1"/>
  <c r="AP144" i="4" a="1"/>
  <c r="AP144" i="4"/>
  <c r="AP145" i="4" a="1"/>
  <c r="AP145" i="4" s="1"/>
  <c r="AP146" i="4" a="1"/>
  <c r="AP146" i="4" s="1"/>
  <c r="AP147" i="4" a="1"/>
  <c r="AP147" i="4" s="1"/>
  <c r="AP148" i="4" a="1"/>
  <c r="AP148" i="4"/>
  <c r="AP149" i="4" a="1"/>
  <c r="AP149" i="4" s="1"/>
  <c r="AP150" i="4" a="1"/>
  <c r="AP150" i="4" s="1"/>
  <c r="AP151" i="4" a="1"/>
  <c r="AP151" i="4" s="1"/>
  <c r="AP152" i="4" a="1"/>
  <c r="AP152" i="4"/>
  <c r="AP153" i="4" a="1"/>
  <c r="AP153" i="4" s="1"/>
  <c r="AP154" i="4" a="1"/>
  <c r="AP154" i="4" s="1"/>
  <c r="AP155" i="4" a="1"/>
  <c r="AP155" i="4" s="1"/>
  <c r="AP156" i="4" a="1"/>
  <c r="AP156" i="4"/>
  <c r="AP157" i="4" a="1"/>
  <c r="AP157" i="4" s="1"/>
  <c r="AP158" i="4" a="1"/>
  <c r="AP158" i="4" s="1"/>
  <c r="AP159" i="4" a="1"/>
  <c r="AP159" i="4" s="1"/>
  <c r="AP160" i="4" a="1"/>
  <c r="AP160" i="4"/>
  <c r="AP161" i="4" a="1"/>
  <c r="AP161" i="4" s="1"/>
  <c r="AP162" i="4" a="1"/>
  <c r="AP162" i="4" s="1"/>
  <c r="AP163" i="4" a="1"/>
  <c r="AP163" i="4" s="1"/>
  <c r="AP164" i="4" a="1"/>
  <c r="AP164" i="4"/>
  <c r="AP165" i="4" a="1"/>
  <c r="AP165" i="4" s="1"/>
  <c r="AP166" i="4" a="1"/>
  <c r="AP166" i="4" s="1"/>
  <c r="AP167" i="4" a="1"/>
  <c r="AP167" i="4" s="1"/>
  <c r="AP168" i="4" a="1"/>
  <c r="AP168" i="4"/>
  <c r="AP169" i="4" a="1"/>
  <c r="AP169" i="4" s="1"/>
  <c r="AP170" i="4" a="1"/>
  <c r="AP170" i="4" s="1"/>
  <c r="AP171" i="4" a="1"/>
  <c r="AP171" i="4" s="1"/>
  <c r="AP172" i="4" a="1"/>
  <c r="AP172" i="4"/>
  <c r="AP173" i="4" a="1"/>
  <c r="AP173" i="4" s="1"/>
  <c r="AP174" i="4" a="1"/>
  <c r="AP174" i="4" s="1"/>
  <c r="AP175" i="4" a="1"/>
  <c r="AP175" i="4" s="1"/>
  <c r="AP176" i="4" a="1"/>
  <c r="AP176" i="4"/>
  <c r="AP177" i="4" a="1"/>
  <c r="AP177" i="4" s="1"/>
  <c r="AP178" i="4" a="1"/>
  <c r="AP178" i="4" s="1"/>
  <c r="AP179" i="4" a="1"/>
  <c r="AP179" i="4" s="1"/>
  <c r="AP180" i="4" a="1"/>
  <c r="AP180" i="4"/>
  <c r="AP181" i="4" a="1"/>
  <c r="AP181" i="4" s="1"/>
  <c r="AP182" i="4" a="1"/>
  <c r="AP182" i="4" s="1"/>
  <c r="AP183" i="4" a="1"/>
  <c r="AP183" i="4" s="1"/>
  <c r="AP184" i="4" a="1"/>
  <c r="AP184" i="4"/>
  <c r="AP4" i="4" a="1"/>
  <c r="AP4" i="4" s="1"/>
  <c r="AK5" i="4"/>
  <c r="AO5" i="4" s="1" a="1"/>
  <c r="AO5" i="4" s="1"/>
  <c r="AM5" i="4"/>
  <c r="AN5" i="4" s="1"/>
  <c r="AK6" i="4"/>
  <c r="AM6" i="4"/>
  <c r="AN6" i="4" s="1"/>
  <c r="AK7" i="4"/>
  <c r="AM7" i="4"/>
  <c r="AN7" i="4" s="1"/>
  <c r="AO7" i="4" a="1"/>
  <c r="AO7" i="4" s="1"/>
  <c r="AK8" i="4"/>
  <c r="AM8" i="4"/>
  <c r="AN8" i="4"/>
  <c r="AO8" i="4" a="1"/>
  <c r="AO8" i="4"/>
  <c r="AK9" i="4"/>
  <c r="AM9" i="4"/>
  <c r="AN9" i="4" s="1"/>
  <c r="AO9" i="4" a="1"/>
  <c r="AO9" i="4" s="1"/>
  <c r="AK10" i="4"/>
  <c r="AO10" i="4" s="1" a="1"/>
  <c r="AO10" i="4" s="1"/>
  <c r="AM10" i="4"/>
  <c r="AN10" i="4" s="1"/>
  <c r="AK11" i="4"/>
  <c r="AM11" i="4"/>
  <c r="AN11" i="4"/>
  <c r="AO11" i="4" a="1"/>
  <c r="AO11" i="4" s="1"/>
  <c r="AK12" i="4"/>
  <c r="AO12" i="4" s="1" a="1"/>
  <c r="AO12" i="4" s="1"/>
  <c r="AM12" i="4"/>
  <c r="AN12" i="4"/>
  <c r="AK13" i="4"/>
  <c r="AO13" i="4" s="1" a="1"/>
  <c r="AO13" i="4" s="1"/>
  <c r="AM13" i="4"/>
  <c r="AN13" i="4" s="1"/>
  <c r="AK14" i="4"/>
  <c r="AM14" i="4"/>
  <c r="AN14" i="4"/>
  <c r="AK15" i="4"/>
  <c r="AM15" i="4"/>
  <c r="AN15" i="4" s="1"/>
  <c r="AO15" i="4" a="1"/>
  <c r="AO15" i="4" s="1"/>
  <c r="AK16" i="4"/>
  <c r="AM16" i="4"/>
  <c r="AN16" i="4"/>
  <c r="AO16" i="4" a="1"/>
  <c r="AO16" i="4"/>
  <c r="AK17" i="4"/>
  <c r="AM17" i="4"/>
  <c r="AN17" i="4" s="1"/>
  <c r="AO17" i="4" a="1"/>
  <c r="AO17" i="4" s="1"/>
  <c r="AK18" i="4"/>
  <c r="AM18" i="4"/>
  <c r="AN18" i="4" s="1"/>
  <c r="AK19" i="4"/>
  <c r="AM19" i="4"/>
  <c r="AN19" i="4" s="1"/>
  <c r="AO19" i="4" a="1"/>
  <c r="AO19" i="4" s="1"/>
  <c r="AK20" i="4"/>
  <c r="AO20" i="4" s="1" a="1"/>
  <c r="AO20" i="4" s="1"/>
  <c r="AM20" i="4"/>
  <c r="AN20" i="4"/>
  <c r="AK21" i="4"/>
  <c r="AM21" i="4"/>
  <c r="AN21" i="4" s="1"/>
  <c r="AO21" i="4" a="1"/>
  <c r="AO21" i="4" s="1"/>
  <c r="AK22" i="4"/>
  <c r="AM22" i="4"/>
  <c r="AN22" i="4"/>
  <c r="AK23" i="4"/>
  <c r="AM23" i="4"/>
  <c r="AN23" i="4" s="1"/>
  <c r="AO23" i="4" a="1"/>
  <c r="AO23" i="4" s="1"/>
  <c r="AK24" i="4"/>
  <c r="AM24" i="4"/>
  <c r="AN24" i="4"/>
  <c r="AO24" i="4" a="1"/>
  <c r="AO24" i="4"/>
  <c r="AK25" i="4"/>
  <c r="AM25" i="4"/>
  <c r="AN25" i="4" s="1"/>
  <c r="AO25" i="4" a="1"/>
  <c r="AO25" i="4" s="1"/>
  <c r="AK26" i="4"/>
  <c r="AM26" i="4"/>
  <c r="AN26" i="4" s="1"/>
  <c r="AK27" i="4"/>
  <c r="AM27" i="4"/>
  <c r="AN27" i="4" s="1"/>
  <c r="AO27" i="4" a="1"/>
  <c r="AO27" i="4" s="1"/>
  <c r="AK28" i="4"/>
  <c r="AO28" i="4" s="1" a="1"/>
  <c r="AO28" i="4" s="1"/>
  <c r="AM28" i="4"/>
  <c r="AN28" i="4"/>
  <c r="AK29" i="4"/>
  <c r="AM29" i="4"/>
  <c r="AN29" i="4" s="1"/>
  <c r="AO29" i="4" a="1"/>
  <c r="AO29" i="4" s="1"/>
  <c r="AK30" i="4"/>
  <c r="AM30" i="4"/>
  <c r="AN30" i="4"/>
  <c r="AK31" i="4"/>
  <c r="AM31" i="4"/>
  <c r="AN31" i="4" s="1"/>
  <c r="AO31" i="4" a="1"/>
  <c r="AO31" i="4" s="1"/>
  <c r="AK32" i="4"/>
  <c r="AM32" i="4"/>
  <c r="AN32" i="4"/>
  <c r="AO32" i="4" a="1"/>
  <c r="AO32" i="4"/>
  <c r="AK33" i="4"/>
  <c r="AM33" i="4"/>
  <c r="AN33" i="4" s="1"/>
  <c r="AO33" i="4" a="1"/>
  <c r="AO33" i="4" s="1"/>
  <c r="AK34" i="4"/>
  <c r="AM34" i="4"/>
  <c r="AN34" i="4" s="1"/>
  <c r="AK35" i="4"/>
  <c r="AM35" i="4"/>
  <c r="AN35" i="4" s="1"/>
  <c r="AO35" i="4" a="1"/>
  <c r="AO35" i="4" s="1"/>
  <c r="AK36" i="4"/>
  <c r="AO36" i="4" s="1" a="1"/>
  <c r="AO36" i="4" s="1"/>
  <c r="AM36" i="4"/>
  <c r="AN36" i="4"/>
  <c r="AK37" i="4"/>
  <c r="AM37" i="4"/>
  <c r="AN37" i="4" s="1"/>
  <c r="AO37" i="4" a="1"/>
  <c r="AO37" i="4" s="1"/>
  <c r="AK38" i="4"/>
  <c r="AM38" i="4"/>
  <c r="AN38" i="4"/>
  <c r="AK39" i="4"/>
  <c r="AM39" i="4"/>
  <c r="AN39" i="4" s="1"/>
  <c r="AO39" i="4" a="1"/>
  <c r="AO39" i="4" s="1"/>
  <c r="AK40" i="4"/>
  <c r="AM40" i="4"/>
  <c r="AN40" i="4"/>
  <c r="AO40" i="4" a="1"/>
  <c r="AO40" i="4"/>
  <c r="AK41" i="4"/>
  <c r="AM41" i="4"/>
  <c r="AN41" i="4" s="1"/>
  <c r="AO41" i="4" a="1"/>
  <c r="AO41" i="4" s="1"/>
  <c r="AK42" i="4"/>
  <c r="AM42" i="4"/>
  <c r="AN42" i="4" s="1"/>
  <c r="AK43" i="4"/>
  <c r="AM43" i="4"/>
  <c r="AN43" i="4" s="1"/>
  <c r="AO43" i="4" a="1"/>
  <c r="AO43" i="4" s="1"/>
  <c r="AK44" i="4"/>
  <c r="AO44" i="4" s="1" a="1"/>
  <c r="AO44" i="4" s="1"/>
  <c r="AM44" i="4"/>
  <c r="AN44" i="4"/>
  <c r="AK45" i="4"/>
  <c r="AM45" i="4"/>
  <c r="AN45" i="4" s="1"/>
  <c r="AO45" i="4" a="1"/>
  <c r="AO45" i="4" s="1"/>
  <c r="AK46" i="4"/>
  <c r="AM46" i="4"/>
  <c r="AN46" i="4"/>
  <c r="AK47" i="4"/>
  <c r="AM47" i="4"/>
  <c r="AN47" i="4" s="1"/>
  <c r="AO47" i="4" a="1"/>
  <c r="AO47" i="4" s="1"/>
  <c r="AK48" i="4"/>
  <c r="AM48" i="4"/>
  <c r="AN48" i="4"/>
  <c r="AO48" i="4" a="1"/>
  <c r="AO48" i="4"/>
  <c r="AK49" i="4"/>
  <c r="AM49" i="4"/>
  <c r="AN49" i="4" s="1"/>
  <c r="AO49" i="4" a="1"/>
  <c r="AO49" i="4" s="1"/>
  <c r="AK50" i="4"/>
  <c r="AM50" i="4"/>
  <c r="AN50" i="4" s="1"/>
  <c r="AK51" i="4"/>
  <c r="AM51" i="4"/>
  <c r="AN51" i="4" s="1"/>
  <c r="AO51" i="4" a="1"/>
  <c r="AO51" i="4" s="1"/>
  <c r="AK52" i="4"/>
  <c r="AO52" i="4" s="1" a="1"/>
  <c r="AO52" i="4" s="1"/>
  <c r="AM52" i="4"/>
  <c r="AN52" i="4"/>
  <c r="AK53" i="4"/>
  <c r="AM53" i="4"/>
  <c r="AN53" i="4" s="1"/>
  <c r="AO53" i="4" a="1"/>
  <c r="AO53" i="4" s="1"/>
  <c r="AK54" i="4"/>
  <c r="AM54" i="4"/>
  <c r="AN54" i="4"/>
  <c r="AK55" i="4"/>
  <c r="AM55" i="4"/>
  <c r="AN55" i="4" s="1"/>
  <c r="AO55" i="4" a="1"/>
  <c r="AO55" i="4" s="1"/>
  <c r="AK56" i="4"/>
  <c r="AM56" i="4"/>
  <c r="AN56" i="4"/>
  <c r="AO56" i="4" a="1"/>
  <c r="AO56" i="4"/>
  <c r="AK57" i="4"/>
  <c r="AM57" i="4"/>
  <c r="AN57" i="4" s="1"/>
  <c r="AO57" i="4" a="1"/>
  <c r="AO57" i="4" s="1"/>
  <c r="AK58" i="4"/>
  <c r="AM58" i="4"/>
  <c r="AN58" i="4" s="1"/>
  <c r="AK59" i="4"/>
  <c r="AM59" i="4"/>
  <c r="AN59" i="4" s="1"/>
  <c r="AO59" i="4" a="1"/>
  <c r="AO59" i="4" s="1"/>
  <c r="AK60" i="4"/>
  <c r="AO60" i="4" s="1" a="1"/>
  <c r="AO60" i="4" s="1"/>
  <c r="AM60" i="4"/>
  <c r="AN60" i="4"/>
  <c r="AK61" i="4"/>
  <c r="AM61" i="4"/>
  <c r="AN61" i="4" s="1"/>
  <c r="AO61" i="4" a="1"/>
  <c r="AO61" i="4" s="1"/>
  <c r="AK62" i="4"/>
  <c r="AM62" i="4"/>
  <c r="AN62" i="4"/>
  <c r="AK63" i="4"/>
  <c r="AM63" i="4"/>
  <c r="AN63" i="4" s="1"/>
  <c r="AO63" i="4" a="1"/>
  <c r="AO63" i="4" s="1"/>
  <c r="AK64" i="4"/>
  <c r="AM64" i="4"/>
  <c r="AN64" i="4"/>
  <c r="AO64" i="4" a="1"/>
  <c r="AO64" i="4"/>
  <c r="AK65" i="4"/>
  <c r="AM65" i="4"/>
  <c r="AN65" i="4" s="1"/>
  <c r="AO65" i="4" a="1"/>
  <c r="AO65" i="4" s="1"/>
  <c r="AK66" i="4"/>
  <c r="AM66" i="4"/>
  <c r="AN66" i="4" s="1"/>
  <c r="AK67" i="4"/>
  <c r="AM67" i="4"/>
  <c r="AN67" i="4" s="1"/>
  <c r="AO67" i="4" a="1"/>
  <c r="AO67" i="4" s="1"/>
  <c r="AK68" i="4"/>
  <c r="AM68" i="4"/>
  <c r="AN68" i="4"/>
  <c r="AK69" i="4"/>
  <c r="AM69" i="4"/>
  <c r="AN69" i="4" s="1"/>
  <c r="AO69" i="4" a="1"/>
  <c r="AO69" i="4" s="1"/>
  <c r="AK70" i="4"/>
  <c r="AM70" i="4"/>
  <c r="AN70" i="4"/>
  <c r="AK71" i="4"/>
  <c r="AM71" i="4"/>
  <c r="AN71" i="4" s="1"/>
  <c r="AO71" i="4" a="1"/>
  <c r="AO71" i="4" s="1"/>
  <c r="AK72" i="4"/>
  <c r="AM72" i="4"/>
  <c r="AN72" i="4"/>
  <c r="AO72" i="4" a="1"/>
  <c r="AO72" i="4"/>
  <c r="AK73" i="4"/>
  <c r="AM73" i="4"/>
  <c r="AN73" i="4" s="1"/>
  <c r="AO73" i="4" a="1"/>
  <c r="AO73" i="4" s="1"/>
  <c r="AK74" i="4"/>
  <c r="AM74" i="4"/>
  <c r="AN74" i="4" s="1"/>
  <c r="AK75" i="4"/>
  <c r="AM75" i="4"/>
  <c r="AN75" i="4"/>
  <c r="AO75" i="4" a="1"/>
  <c r="AO75" i="4" s="1"/>
  <c r="AK76" i="4"/>
  <c r="AM76" i="4"/>
  <c r="AN76" i="4"/>
  <c r="AO76" i="4" a="1"/>
  <c r="AO76" i="4" s="1"/>
  <c r="AK77" i="4"/>
  <c r="AM77" i="4"/>
  <c r="AN77" i="4" s="1"/>
  <c r="AO77" i="4" a="1"/>
  <c r="AO77" i="4" s="1"/>
  <c r="AK78" i="4"/>
  <c r="AO78" i="4" s="1" a="1"/>
  <c r="AM78" i="4"/>
  <c r="AN78" i="4" s="1"/>
  <c r="AO78" i="4"/>
  <c r="AK79" i="4"/>
  <c r="AM79" i="4"/>
  <c r="AN79" i="4" s="1"/>
  <c r="AO79" i="4" a="1"/>
  <c r="AO79" i="4" s="1"/>
  <c r="AK80" i="4"/>
  <c r="AM80" i="4"/>
  <c r="AN80" i="4"/>
  <c r="AO80" i="4" a="1"/>
  <c r="AO80" i="4" s="1"/>
  <c r="AK81" i="4"/>
  <c r="AM81" i="4"/>
  <c r="AN81" i="4" s="1"/>
  <c r="AK82" i="4"/>
  <c r="AO82" i="4" s="1" a="1"/>
  <c r="AO82" i="4" s="1"/>
  <c r="AM82" i="4"/>
  <c r="AN82" i="4" s="1"/>
  <c r="AK83" i="4"/>
  <c r="AM83" i="4"/>
  <c r="AN83" i="4" s="1"/>
  <c r="AO83" i="4" a="1"/>
  <c r="AO83" i="4" s="1"/>
  <c r="AK84" i="4"/>
  <c r="AM84" i="4"/>
  <c r="AN84" i="4"/>
  <c r="AO84" i="4" a="1"/>
  <c r="AO84" i="4" s="1"/>
  <c r="AK85" i="4"/>
  <c r="AM85" i="4"/>
  <c r="AN85" i="4" s="1"/>
  <c r="AK86" i="4"/>
  <c r="AO86" i="4" s="1" a="1"/>
  <c r="AO86" i="4" s="1"/>
  <c r="AM86" i="4"/>
  <c r="AN86" i="4"/>
  <c r="AK87" i="4"/>
  <c r="AM87" i="4"/>
  <c r="AN87" i="4"/>
  <c r="AO87" i="4" a="1"/>
  <c r="AO87" i="4" s="1"/>
  <c r="AK88" i="4"/>
  <c r="AM88" i="4"/>
  <c r="AN88" i="4"/>
  <c r="AO88" i="4" a="1"/>
  <c r="AO88" i="4"/>
  <c r="AK89" i="4"/>
  <c r="AO89" i="4" s="1" a="1"/>
  <c r="AO89" i="4" s="1"/>
  <c r="AM89" i="4"/>
  <c r="AN89" i="4" s="1"/>
  <c r="AK90" i="4"/>
  <c r="AO90" i="4" s="1" a="1"/>
  <c r="AO90" i="4" s="1"/>
  <c r="AM90" i="4"/>
  <c r="AN90" i="4" s="1"/>
  <c r="AK91" i="4"/>
  <c r="AM91" i="4"/>
  <c r="AN91" i="4" s="1"/>
  <c r="AO91" i="4" a="1"/>
  <c r="AO91" i="4" s="1"/>
  <c r="AK92" i="4"/>
  <c r="AM92" i="4"/>
  <c r="AN92" i="4"/>
  <c r="AK93" i="4"/>
  <c r="AM93" i="4"/>
  <c r="AN93" i="4" s="1"/>
  <c r="AK94" i="4"/>
  <c r="AO94" i="4" s="1" a="1"/>
  <c r="AO94" i="4" s="1"/>
  <c r="AM94" i="4"/>
  <c r="AN94" i="4"/>
  <c r="AK95" i="4"/>
  <c r="AM95" i="4"/>
  <c r="AN95" i="4"/>
  <c r="AO95" i="4" a="1"/>
  <c r="AO95" i="4" s="1"/>
  <c r="AK96" i="4"/>
  <c r="AM96" i="4"/>
  <c r="AN96" i="4"/>
  <c r="AO96" i="4" a="1"/>
  <c r="AO96" i="4"/>
  <c r="AK97" i="4"/>
  <c r="AO97" i="4" s="1" a="1"/>
  <c r="AO97" i="4" s="1"/>
  <c r="AM97" i="4"/>
  <c r="AN97" i="4" s="1"/>
  <c r="AK98" i="4"/>
  <c r="AO98" i="4" s="1" a="1"/>
  <c r="AM98" i="4"/>
  <c r="AN98" i="4" s="1"/>
  <c r="AO98" i="4"/>
  <c r="AK99" i="4"/>
  <c r="AM99" i="4"/>
  <c r="AN99" i="4"/>
  <c r="AO99" i="4" a="1"/>
  <c r="AO99" i="4" s="1"/>
  <c r="AK100" i="4"/>
  <c r="AM100" i="4"/>
  <c r="AN100" i="4"/>
  <c r="AO100" i="4" a="1"/>
  <c r="AO100" i="4" s="1"/>
  <c r="AK101" i="4"/>
  <c r="AM101" i="4"/>
  <c r="AN101" i="4" s="1"/>
  <c r="AO101" i="4" a="1"/>
  <c r="AO101" i="4" s="1"/>
  <c r="AK102" i="4"/>
  <c r="AO102" i="4" s="1" a="1"/>
  <c r="AM102" i="4"/>
  <c r="AN102" i="4"/>
  <c r="AO102" i="4"/>
  <c r="AK103" i="4"/>
  <c r="AM103" i="4"/>
  <c r="AN103" i="4" s="1"/>
  <c r="AO103" i="4" a="1"/>
  <c r="AO103" i="4" s="1"/>
  <c r="AK104" i="4"/>
  <c r="AM104" i="4"/>
  <c r="AN104" i="4"/>
  <c r="AO104" i="4" a="1"/>
  <c r="AO104" i="4" s="1"/>
  <c r="AK105" i="4"/>
  <c r="AM105" i="4"/>
  <c r="AN105" i="4" s="1"/>
  <c r="AO105" i="4" a="1"/>
  <c r="AO105" i="4" s="1"/>
  <c r="AK106" i="4"/>
  <c r="AO106" i="4" s="1" a="1"/>
  <c r="AO106" i="4" s="1"/>
  <c r="AM106" i="4"/>
  <c r="AN106" i="4"/>
  <c r="AK107" i="4"/>
  <c r="AM107" i="4"/>
  <c r="AN107" i="4"/>
  <c r="AO107" i="4" a="1"/>
  <c r="AO107" i="4" s="1"/>
  <c r="AK108" i="4"/>
  <c r="AM108" i="4"/>
  <c r="AN108" i="4"/>
  <c r="AO108" i="4" a="1"/>
  <c r="AO108" i="4"/>
  <c r="AK109" i="4"/>
  <c r="AM109" i="4"/>
  <c r="AN109" i="4" s="1"/>
  <c r="AO109" i="4" a="1"/>
  <c r="AO109" i="4"/>
  <c r="AK110" i="4"/>
  <c r="AO110" i="4" s="1" a="1"/>
  <c r="AO110" i="4" s="1"/>
  <c r="AM110" i="4"/>
  <c r="AN110" i="4" s="1"/>
  <c r="AK111" i="4"/>
  <c r="AM111" i="4"/>
  <c r="AN111" i="4"/>
  <c r="AO111" i="4" a="1"/>
  <c r="AO111" i="4" s="1"/>
  <c r="AK112" i="4"/>
  <c r="AM112" i="4"/>
  <c r="AN112" i="4"/>
  <c r="AO112" i="4" a="1"/>
  <c r="AO112" i="4"/>
  <c r="AK113" i="4"/>
  <c r="AM113" i="4"/>
  <c r="AN113" i="4" s="1"/>
  <c r="AO113" i="4" a="1"/>
  <c r="AO113" i="4"/>
  <c r="AK114" i="4"/>
  <c r="AO114" i="4" s="1" a="1"/>
  <c r="AO114" i="4" s="1"/>
  <c r="AM114" i="4"/>
  <c r="AN114" i="4"/>
  <c r="AK115" i="4"/>
  <c r="AM115" i="4"/>
  <c r="AN115" i="4" s="1"/>
  <c r="AO115" i="4" a="1"/>
  <c r="AO115" i="4" s="1"/>
  <c r="AK116" i="4"/>
  <c r="AM116" i="4"/>
  <c r="AN116" i="4"/>
  <c r="AO116" i="4" a="1"/>
  <c r="AO116" i="4" s="1"/>
  <c r="AK117" i="4"/>
  <c r="AO117" i="4" s="1" a="1"/>
  <c r="AO117" i="4" s="1"/>
  <c r="AM117" i="4"/>
  <c r="AN117" i="4" s="1"/>
  <c r="AK118" i="4"/>
  <c r="AO118" i="4" s="1" a="1"/>
  <c r="AM118" i="4"/>
  <c r="AN118" i="4"/>
  <c r="AO118" i="4"/>
  <c r="AK119" i="4"/>
  <c r="AM119" i="4"/>
  <c r="AN119" i="4"/>
  <c r="AO119" i="4" a="1"/>
  <c r="AO119" i="4" s="1"/>
  <c r="AK120" i="4"/>
  <c r="AM120" i="4"/>
  <c r="AN120" i="4"/>
  <c r="AO120" i="4" a="1"/>
  <c r="AO120" i="4"/>
  <c r="AK121" i="4"/>
  <c r="AO121" i="4" s="1" a="1"/>
  <c r="AO121" i="4" s="1"/>
  <c r="AM121" i="4"/>
  <c r="AN121" i="4" s="1"/>
  <c r="AK122" i="4"/>
  <c r="AO122" i="4" s="1" a="1"/>
  <c r="AM122" i="4"/>
  <c r="AN122" i="4" s="1"/>
  <c r="AO122" i="4"/>
  <c r="AK123" i="4"/>
  <c r="AM123" i="4"/>
  <c r="AN123" i="4"/>
  <c r="AO123" i="4" a="1"/>
  <c r="AO123" i="4" s="1"/>
  <c r="AK124" i="4"/>
  <c r="AM124" i="4"/>
  <c r="AN124" i="4"/>
  <c r="AK125" i="4"/>
  <c r="AM125" i="4"/>
  <c r="AN125" i="4" s="1"/>
  <c r="AO125" i="4" a="1"/>
  <c r="AO125" i="4" s="1"/>
  <c r="AK126" i="4"/>
  <c r="AO126" i="4" s="1" a="1"/>
  <c r="AM126" i="4"/>
  <c r="AN126" i="4"/>
  <c r="AO126" i="4"/>
  <c r="AK127" i="4"/>
  <c r="AM127" i="4"/>
  <c r="AN127" i="4" s="1"/>
  <c r="AO127" i="4" a="1"/>
  <c r="AO127" i="4" s="1"/>
  <c r="AK128" i="4"/>
  <c r="AM128" i="4"/>
  <c r="AN128" i="4"/>
  <c r="AK129" i="4"/>
  <c r="AM129" i="4"/>
  <c r="AN129" i="4" s="1"/>
  <c r="AK130" i="4"/>
  <c r="AO130" i="4" s="1" a="1"/>
  <c r="AM130" i="4"/>
  <c r="AN130" i="4"/>
  <c r="AO130" i="4"/>
  <c r="AK131" i="4"/>
  <c r="AM131" i="4"/>
  <c r="AN131" i="4"/>
  <c r="AO131" i="4" a="1"/>
  <c r="AO131" i="4" s="1"/>
  <c r="AK132" i="4"/>
  <c r="AM132" i="4"/>
  <c r="AN132" i="4"/>
  <c r="AK133" i="4"/>
  <c r="AM133" i="4"/>
  <c r="AN133" i="4" s="1"/>
  <c r="AO133" i="4" a="1"/>
  <c r="AO133" i="4"/>
  <c r="AK134" i="4"/>
  <c r="AO134" i="4" s="1" a="1"/>
  <c r="AM134" i="4"/>
  <c r="AN134" i="4" s="1"/>
  <c r="AO134" i="4"/>
  <c r="AK135" i="4"/>
  <c r="AM135" i="4"/>
  <c r="AN135" i="4" s="1"/>
  <c r="AO135" i="4" a="1"/>
  <c r="AO135" i="4" s="1"/>
  <c r="AK136" i="4"/>
  <c r="AO136" i="4" s="1" a="1"/>
  <c r="AO136" i="4" s="1"/>
  <c r="AM136" i="4"/>
  <c r="AN136" i="4"/>
  <c r="AK137" i="4"/>
  <c r="AM137" i="4"/>
  <c r="AN137" i="4" s="1"/>
  <c r="AK138" i="4"/>
  <c r="AO138" i="4" s="1" a="1"/>
  <c r="AM138" i="4"/>
  <c r="AN138" i="4"/>
  <c r="AO138" i="4"/>
  <c r="AK139" i="4"/>
  <c r="AM139" i="4"/>
  <c r="AN139" i="4" s="1"/>
  <c r="AO139" i="4" a="1"/>
  <c r="AO139" i="4" s="1"/>
  <c r="AK140" i="4"/>
  <c r="AM140" i="4"/>
  <c r="AN140" i="4" s="1"/>
  <c r="AK141" i="4"/>
  <c r="AM141" i="4"/>
  <c r="AN141" i="4"/>
  <c r="AO141" i="4" a="1"/>
  <c r="AO141" i="4" s="1"/>
  <c r="AK142" i="4"/>
  <c r="AM142" i="4"/>
  <c r="AN142" i="4" s="1"/>
  <c r="AO142" i="4" a="1"/>
  <c r="AO142" i="4"/>
  <c r="AK143" i="4"/>
  <c r="AM143" i="4"/>
  <c r="AN143" i="4"/>
  <c r="AO143" i="4" a="1"/>
  <c r="AO143" i="4"/>
  <c r="AK144" i="4"/>
  <c r="AM144" i="4"/>
  <c r="AN144" i="4"/>
  <c r="AO144" i="4" a="1"/>
  <c r="AO144" i="4" s="1"/>
  <c r="AK145" i="4"/>
  <c r="AM145" i="4"/>
  <c r="AN145" i="4" s="1"/>
  <c r="AO145" i="4" a="1"/>
  <c r="AO145" i="4"/>
  <c r="AK146" i="4"/>
  <c r="AM146" i="4"/>
  <c r="AN146" i="4"/>
  <c r="AK147" i="4"/>
  <c r="AO147" i="4" s="1" a="1"/>
  <c r="AO147" i="4" s="1"/>
  <c r="AM147" i="4"/>
  <c r="AN147" i="4" s="1"/>
  <c r="AK148" i="4"/>
  <c r="AO148" i="4" s="1" a="1"/>
  <c r="AO148" i="4" s="1"/>
  <c r="AM148" i="4"/>
  <c r="AN148" i="4"/>
  <c r="AK149" i="4"/>
  <c r="AM149" i="4"/>
  <c r="AN149" i="4"/>
  <c r="AO149" i="4" a="1"/>
  <c r="AO149" i="4" s="1"/>
  <c r="AK150" i="4"/>
  <c r="AM150" i="4"/>
  <c r="AN150" i="4" s="1"/>
  <c r="AO150" i="4" a="1"/>
  <c r="AO150" i="4"/>
  <c r="AK151" i="4"/>
  <c r="AM151" i="4"/>
  <c r="AN151" i="4"/>
  <c r="AO151" i="4" a="1"/>
  <c r="AO151" i="4"/>
  <c r="AK152" i="4"/>
  <c r="AM152" i="4"/>
  <c r="AN152" i="4"/>
  <c r="AO152" i="4" a="1"/>
  <c r="AO152" i="4" s="1"/>
  <c r="AK153" i="4"/>
  <c r="AM153" i="4"/>
  <c r="AN153" i="4" s="1"/>
  <c r="AO153" i="4" a="1"/>
  <c r="AO153" i="4"/>
  <c r="AK154" i="4"/>
  <c r="AO154" i="4" s="1" a="1"/>
  <c r="AO154" i="4" s="1"/>
  <c r="AM154" i="4"/>
  <c r="AN154" i="4"/>
  <c r="AK155" i="4"/>
  <c r="AO155" i="4" s="1" a="1"/>
  <c r="AO155" i="4" s="1"/>
  <c r="AM155" i="4"/>
  <c r="AN155" i="4" s="1"/>
  <c r="AK156" i="4"/>
  <c r="AO156" i="4" s="1" a="1"/>
  <c r="AO156" i="4" s="1"/>
  <c r="AM156" i="4"/>
  <c r="AN156" i="4"/>
  <c r="AK157" i="4"/>
  <c r="AM157" i="4"/>
  <c r="AN157" i="4"/>
  <c r="AO157" i="4" a="1"/>
  <c r="AO157" i="4" s="1"/>
  <c r="AK158" i="4"/>
  <c r="AM158" i="4"/>
  <c r="AN158" i="4" s="1"/>
  <c r="AO158" i="4" a="1"/>
  <c r="AO158" i="4"/>
  <c r="AK159" i="4"/>
  <c r="AM159" i="4"/>
  <c r="AN159" i="4"/>
  <c r="AO159" i="4" a="1"/>
  <c r="AO159" i="4"/>
  <c r="AK160" i="4"/>
  <c r="AM160" i="4"/>
  <c r="AN160" i="4"/>
  <c r="AO160" i="4" a="1"/>
  <c r="AO160" i="4" s="1"/>
  <c r="AK161" i="4"/>
  <c r="AM161" i="4"/>
  <c r="AN161" i="4" s="1"/>
  <c r="AO161" i="4" a="1"/>
  <c r="AO161" i="4"/>
  <c r="AK162" i="4"/>
  <c r="AM162" i="4"/>
  <c r="AN162" i="4"/>
  <c r="AK163" i="4"/>
  <c r="AO163" i="4" s="1" a="1"/>
  <c r="AO163" i="4" s="1"/>
  <c r="AM163" i="4"/>
  <c r="AN163" i="4" s="1"/>
  <c r="AK164" i="4"/>
  <c r="AO164" i="4" s="1" a="1"/>
  <c r="AO164" i="4" s="1"/>
  <c r="AM164" i="4"/>
  <c r="AN164" i="4"/>
  <c r="AK165" i="4"/>
  <c r="AM165" i="4"/>
  <c r="AN165" i="4"/>
  <c r="AO165" i="4" a="1"/>
  <c r="AO165" i="4" s="1"/>
  <c r="AK166" i="4"/>
  <c r="AM166" i="4"/>
  <c r="AN166" i="4" s="1"/>
  <c r="AO166" i="4" a="1"/>
  <c r="AO166" i="4"/>
  <c r="AK167" i="4"/>
  <c r="AM167" i="4"/>
  <c r="AN167" i="4"/>
  <c r="AO167" i="4" a="1"/>
  <c r="AO167" i="4"/>
  <c r="AK168" i="4"/>
  <c r="AM168" i="4"/>
  <c r="AN168" i="4"/>
  <c r="AO168" i="4" a="1"/>
  <c r="AO168" i="4" s="1"/>
  <c r="AK169" i="4"/>
  <c r="AM169" i="4"/>
  <c r="AN169" i="4" s="1"/>
  <c r="AO169" i="4" a="1"/>
  <c r="AO169" i="4"/>
  <c r="AK170" i="4"/>
  <c r="AO170" i="4" s="1" a="1"/>
  <c r="AO170" i="4" s="1"/>
  <c r="AM170" i="4"/>
  <c r="AN170" i="4"/>
  <c r="AK171" i="4"/>
  <c r="AO171" i="4" s="1" a="1"/>
  <c r="AO171" i="4" s="1"/>
  <c r="AM171" i="4"/>
  <c r="AN171" i="4" s="1"/>
  <c r="AK172" i="4"/>
  <c r="AO172" i="4" s="1" a="1"/>
  <c r="AO172" i="4" s="1"/>
  <c r="AM172" i="4"/>
  <c r="AN172" i="4"/>
  <c r="AK173" i="4"/>
  <c r="AM173" i="4"/>
  <c r="AN173" i="4"/>
  <c r="AO173" i="4" a="1"/>
  <c r="AO173" i="4" s="1"/>
  <c r="AK174" i="4"/>
  <c r="AM174" i="4"/>
  <c r="AN174" i="4" s="1"/>
  <c r="AO174" i="4" a="1"/>
  <c r="AO174" i="4"/>
  <c r="AK175" i="4"/>
  <c r="AM175" i="4"/>
  <c r="AN175" i="4"/>
  <c r="AO175" i="4" a="1"/>
  <c r="AO175" i="4"/>
  <c r="AK176" i="4"/>
  <c r="AM176" i="4"/>
  <c r="AN176" i="4"/>
  <c r="AO176" i="4" a="1"/>
  <c r="AO176" i="4" s="1"/>
  <c r="AK177" i="4"/>
  <c r="AM177" i="4"/>
  <c r="AN177" i="4" s="1"/>
  <c r="AO177" i="4" a="1"/>
  <c r="AO177" i="4"/>
  <c r="AK178" i="4"/>
  <c r="AM178" i="4"/>
  <c r="AN178" i="4"/>
  <c r="AK179" i="4"/>
  <c r="AO179" i="4" s="1" a="1"/>
  <c r="AO179" i="4" s="1"/>
  <c r="AM179" i="4"/>
  <c r="AN179" i="4" s="1"/>
  <c r="AK180" i="4"/>
  <c r="AO180" i="4" s="1" a="1"/>
  <c r="AO180" i="4" s="1"/>
  <c r="AM180" i="4"/>
  <c r="AN180" i="4"/>
  <c r="AK181" i="4"/>
  <c r="AM181" i="4"/>
  <c r="AN181" i="4" s="1"/>
  <c r="AO181" i="4" a="1"/>
  <c r="AO181" i="4" s="1"/>
  <c r="AK182" i="4"/>
  <c r="AM182" i="4"/>
  <c r="AN182" i="4" s="1"/>
  <c r="AO182" i="4" a="1"/>
  <c r="AO182" i="4"/>
  <c r="AK183" i="4"/>
  <c r="AM183" i="4"/>
  <c r="AN183" i="4"/>
  <c r="AO183" i="4" a="1"/>
  <c r="AO183" i="4" s="1"/>
  <c r="AK184" i="4"/>
  <c r="AM184" i="4"/>
  <c r="AN184" i="4"/>
  <c r="AO184" i="4" a="1"/>
  <c r="AO184" i="4" s="1"/>
  <c r="B3" i="3"/>
  <c r="B4" i="3"/>
  <c r="B5" i="3"/>
  <c r="B6" i="3"/>
  <c r="B7" i="3"/>
  <c r="B8" i="3"/>
  <c r="B9" i="3"/>
  <c r="B10" i="3"/>
  <c r="B11" i="3"/>
  <c r="B12" i="3"/>
  <c r="B13" i="3"/>
  <c r="B14" i="3"/>
  <c r="B15" i="3"/>
  <c r="B16" i="3"/>
  <c r="B17" i="3"/>
  <c r="B18" i="3"/>
  <c r="B19" i="3"/>
  <c r="B20" i="3"/>
  <c r="B21" i="3"/>
  <c r="B22" i="3"/>
  <c r="B23" i="3"/>
  <c r="B24" i="3"/>
  <c r="B25" i="3"/>
  <c r="B26" i="3"/>
  <c r="B27" i="3"/>
  <c r="B28" i="3"/>
  <c r="B29" i="3"/>
  <c r="B2" i="3"/>
  <c r="K3" i="2"/>
  <c r="K2" i="2"/>
  <c r="K3" i="1"/>
  <c r="K2" i="1"/>
  <c r="C2" i="70" l="1"/>
  <c r="C3" i="70"/>
  <c r="A8" i="70" a="1"/>
  <c r="A8" i="70" s="1"/>
  <c r="B8" i="70" a="1"/>
  <c r="B8" i="70" s="1"/>
  <c r="E8" i="70" a="1"/>
  <c r="E8" i="70" s="1"/>
  <c r="D8" i="70" a="1"/>
  <c r="D8" i="70" s="1"/>
  <c r="D8" i="69" a="1"/>
  <c r="D8" i="69" s="1"/>
  <c r="I8" i="69" s="1" a="1"/>
  <c r="I8" i="69" s="1"/>
  <c r="AO46" i="4" a="1"/>
  <c r="AO46" i="4" s="1"/>
  <c r="AO137" i="4" a="1"/>
  <c r="AO137" i="4" s="1"/>
  <c r="AO129" i="4" a="1"/>
  <c r="AO129" i="4" s="1"/>
  <c r="AO81" i="4" a="1"/>
  <c r="AO81" i="4" s="1"/>
  <c r="AO62" i="4" a="1"/>
  <c r="AO62" i="4" s="1"/>
  <c r="AO54" i="4" a="1"/>
  <c r="AO54" i="4" s="1"/>
  <c r="AO93" i="4" a="1"/>
  <c r="AO93" i="4" s="1"/>
  <c r="AO22" i="4" a="1"/>
  <c r="AO22" i="4" s="1"/>
  <c r="AO85" i="4" a="1"/>
  <c r="AO85" i="4" s="1"/>
  <c r="AO30" i="4" a="1"/>
  <c r="AO30" i="4" s="1"/>
  <c r="AO178" i="4" a="1"/>
  <c r="AO178" i="4" s="1"/>
  <c r="AO162" i="4" a="1"/>
  <c r="AO162" i="4" s="1"/>
  <c r="AO146" i="4" a="1"/>
  <c r="AO146" i="4" s="1"/>
  <c r="AO124" i="4" a="1"/>
  <c r="AO124" i="4" s="1"/>
  <c r="AO6" i="4" a="1"/>
  <c r="AO6" i="4" s="1"/>
  <c r="AO70" i="4" a="1"/>
  <c r="AO70" i="4" s="1"/>
  <c r="AO140" i="4" a="1"/>
  <c r="AO140" i="4" s="1"/>
  <c r="AO128" i="4" a="1"/>
  <c r="AO128" i="4" s="1"/>
  <c r="AO92" i="4" a="1"/>
  <c r="AO92" i="4" s="1"/>
  <c r="AO74" i="4" a="1"/>
  <c r="AO74" i="4" s="1"/>
  <c r="AO38" i="4" a="1"/>
  <c r="AO38" i="4" s="1"/>
  <c r="AO14" i="4" a="1"/>
  <c r="AO14" i="4" s="1"/>
  <c r="AO132" i="4" a="1"/>
  <c r="AO132" i="4" s="1"/>
  <c r="AO68" i="4" a="1"/>
  <c r="AO68" i="4" s="1"/>
  <c r="AO66" i="4" a="1"/>
  <c r="AO66" i="4" s="1"/>
  <c r="AO58" i="4" a="1"/>
  <c r="AO58" i="4" s="1"/>
  <c r="AO50" i="4" a="1"/>
  <c r="AO50" i="4" s="1"/>
  <c r="AO42" i="4" a="1"/>
  <c r="AO42" i="4" s="1"/>
  <c r="AO34" i="4" a="1"/>
  <c r="AO34" i="4" s="1"/>
  <c r="AO26" i="4" a="1"/>
  <c r="AO26" i="4" s="1"/>
  <c r="AO18" i="4" a="1"/>
  <c r="AO18" i="4" s="1"/>
  <c r="A2" i="3" a="1"/>
  <c r="T58" i="4"/>
  <c r="T57" i="4"/>
  <c r="T41" i="4"/>
  <c r="T40" i="4"/>
  <c r="K30" i="4"/>
  <c r="K28" i="4"/>
  <c r="L29" i="4" s="1"/>
  <c r="L14" i="4"/>
  <c r="L13" i="4"/>
  <c r="L12" i="4"/>
  <c r="M11" i="4"/>
  <c r="M13" i="4" s="1"/>
  <c r="L11" i="4"/>
  <c r="F8" i="70" l="1" a="1"/>
  <c r="F8" i="70" s="1"/>
  <c r="H8" i="69" a="1"/>
  <c r="H8" i="69" s="1"/>
  <c r="F8" i="69" a="1"/>
  <c r="F8" i="69" s="1"/>
  <c r="G8" i="69" a="1"/>
  <c r="G8" i="69" s="1"/>
  <c r="A2" i="3"/>
  <c r="N11" i="4"/>
  <c r="N12" i="4"/>
  <c r="L31" i="4"/>
  <c r="K47" i="4"/>
  <c r="L30" i="4"/>
  <c r="N13" i="4"/>
  <c r="M30" i="4"/>
  <c r="N14" i="4"/>
  <c r="M15" i="4"/>
  <c r="L28" i="4"/>
  <c r="M28" i="4"/>
  <c r="K45" i="4"/>
  <c r="I8" i="70" l="1" a="1"/>
  <c r="I8" i="70" s="1"/>
  <c r="K1" i="4"/>
  <c r="L45" i="4"/>
  <c r="L46" i="4"/>
  <c r="L48" i="4"/>
  <c r="L47" i="4"/>
  <c r="M32" i="4"/>
  <c r="N15" i="4"/>
  <c r="N16" i="4"/>
  <c r="M17" i="4"/>
  <c r="M47" i="4"/>
  <c r="N31" i="4"/>
  <c r="N30" i="4"/>
  <c r="M45" i="4"/>
  <c r="N29" i="4"/>
  <c r="N28" i="4"/>
  <c r="AG4" i="4" l="1" a="1"/>
  <c r="AG4" i="4" s="1"/>
  <c r="E1" i="4" s="1"/>
  <c r="AH4" i="4" s="1" a="1"/>
  <c r="AH4" i="4" s="1"/>
  <c r="T1" i="4" s="1"/>
  <c r="AI4" i="4" s="1" a="1"/>
  <c r="AI4" i="4" s="1"/>
  <c r="T2" i="4"/>
  <c r="A34" i="4"/>
  <c r="A98" i="4"/>
  <c r="A162" i="4"/>
  <c r="A51" i="4"/>
  <c r="A115" i="4"/>
  <c r="A179" i="4"/>
  <c r="A4" i="4"/>
  <c r="A68" i="4"/>
  <c r="A132" i="4"/>
  <c r="A13" i="4"/>
  <c r="A77" i="4"/>
  <c r="A141" i="4"/>
  <c r="A17" i="4"/>
  <c r="A14" i="4"/>
  <c r="A78" i="4"/>
  <c r="A142" i="4"/>
  <c r="A23" i="4"/>
  <c r="A87" i="4"/>
  <c r="A159" i="4"/>
  <c r="A137" i="4"/>
  <c r="A48" i="4"/>
  <c r="A112" i="4"/>
  <c r="A176" i="4"/>
  <c r="A59" i="4"/>
  <c r="A140" i="4"/>
  <c r="A149" i="4"/>
  <c r="A22" i="4"/>
  <c r="A150" i="4"/>
  <c r="A95" i="4"/>
  <c r="A153" i="4"/>
  <c r="A120" i="4"/>
  <c r="A135" i="4"/>
  <c r="A88" i="4"/>
  <c r="A152" i="4"/>
  <c r="A26" i="4"/>
  <c r="A60" i="4"/>
  <c r="A183" i="4"/>
  <c r="A15" i="4"/>
  <c r="A40" i="4"/>
  <c r="A42" i="4"/>
  <c r="A106" i="4"/>
  <c r="A170" i="4"/>
  <c r="A123" i="4"/>
  <c r="A9" i="4"/>
  <c r="A12" i="4"/>
  <c r="A76" i="4"/>
  <c r="A21" i="4"/>
  <c r="A85" i="4"/>
  <c r="A41" i="4"/>
  <c r="A86" i="4"/>
  <c r="A31" i="4"/>
  <c r="A167" i="4"/>
  <c r="A56" i="4"/>
  <c r="A90" i="4"/>
  <c r="A161" i="4"/>
  <c r="A69" i="4"/>
  <c r="A70" i="4"/>
  <c r="A151" i="4"/>
  <c r="A104" i="4"/>
  <c r="A50" i="4"/>
  <c r="A114" i="4"/>
  <c r="A178" i="4"/>
  <c r="A67" i="4"/>
  <c r="A131" i="4"/>
  <c r="A33" i="4"/>
  <c r="A20" i="4"/>
  <c r="A84" i="4"/>
  <c r="A148" i="4"/>
  <c r="A29" i="4"/>
  <c r="A93" i="4"/>
  <c r="A157" i="4"/>
  <c r="A65" i="4"/>
  <c r="A30" i="4"/>
  <c r="A94" i="4"/>
  <c r="A158" i="4"/>
  <c r="A39" i="4"/>
  <c r="A103" i="4"/>
  <c r="A175" i="4"/>
  <c r="A169" i="4"/>
  <c r="A64" i="4"/>
  <c r="A128" i="4"/>
  <c r="A136" i="4"/>
  <c r="A74" i="4"/>
  <c r="A44" i="4"/>
  <c r="A172" i="4"/>
  <c r="A117" i="4"/>
  <c r="A145" i="4"/>
  <c r="A118" i="4"/>
  <c r="A63" i="4"/>
  <c r="A24" i="4"/>
  <c r="A43" i="4"/>
  <c r="A171" i="4"/>
  <c r="A5" i="4"/>
  <c r="A6" i="4"/>
  <c r="A79" i="4"/>
  <c r="A168" i="4"/>
  <c r="A58" i="4"/>
  <c r="A122" i="4"/>
  <c r="A11" i="4"/>
  <c r="A75" i="4"/>
  <c r="A139" i="4"/>
  <c r="A57" i="4"/>
  <c r="A28" i="4"/>
  <c r="A92" i="4"/>
  <c r="A156" i="4"/>
  <c r="A37" i="4"/>
  <c r="A101" i="4"/>
  <c r="A165" i="4"/>
  <c r="A97" i="4"/>
  <c r="A38" i="4"/>
  <c r="A102" i="4"/>
  <c r="A166" i="4"/>
  <c r="A47" i="4"/>
  <c r="A111" i="4"/>
  <c r="A25" i="4"/>
  <c r="A8" i="4"/>
  <c r="A72" i="4"/>
  <c r="A10" i="4"/>
  <c r="A138" i="4"/>
  <c r="A27" i="4"/>
  <c r="A91" i="4"/>
  <c r="A155" i="4"/>
  <c r="A105" i="4"/>
  <c r="A108" i="4"/>
  <c r="A53" i="4"/>
  <c r="A181" i="4"/>
  <c r="A54" i="4"/>
  <c r="A182" i="4"/>
  <c r="A73" i="4"/>
  <c r="A154" i="4"/>
  <c r="A107" i="4"/>
  <c r="A124" i="4"/>
  <c r="A133" i="4"/>
  <c r="A134" i="4"/>
  <c r="A113" i="4"/>
  <c r="A66" i="4"/>
  <c r="A130" i="4"/>
  <c r="A19" i="4"/>
  <c r="A83" i="4"/>
  <c r="A147" i="4"/>
  <c r="A81" i="4"/>
  <c r="A36" i="4"/>
  <c r="A100" i="4"/>
  <c r="A164" i="4"/>
  <c r="A45" i="4"/>
  <c r="A109" i="4"/>
  <c r="A173" i="4"/>
  <c r="A121" i="4"/>
  <c r="A46" i="4"/>
  <c r="A110" i="4"/>
  <c r="A174" i="4"/>
  <c r="A55" i="4"/>
  <c r="A119" i="4"/>
  <c r="A49" i="4"/>
  <c r="A16" i="4"/>
  <c r="A80" i="4"/>
  <c r="A144" i="4"/>
  <c r="A18" i="4"/>
  <c r="A82" i="4"/>
  <c r="A146" i="4"/>
  <c r="A35" i="4"/>
  <c r="A99" i="4"/>
  <c r="A163" i="4"/>
  <c r="A129" i="4"/>
  <c r="A52" i="4"/>
  <c r="A116" i="4"/>
  <c r="A180" i="4"/>
  <c r="A61" i="4"/>
  <c r="A125" i="4"/>
  <c r="A127" i="4"/>
  <c r="A177" i="4"/>
  <c r="A62" i="4"/>
  <c r="A126" i="4"/>
  <c r="A7" i="4"/>
  <c r="A71" i="4"/>
  <c r="A143" i="4"/>
  <c r="A89" i="4"/>
  <c r="A32" i="4"/>
  <c r="A96" i="4"/>
  <c r="A160" i="4"/>
  <c r="M34" i="4"/>
  <c r="N17" i="4"/>
  <c r="M19" i="4"/>
  <c r="N18" i="4"/>
  <c r="N32" i="4"/>
  <c r="N33" i="4"/>
  <c r="M49" i="4"/>
  <c r="N46" i="4"/>
  <c r="N45" i="4"/>
  <c r="N47" i="4"/>
  <c r="N48" i="4"/>
  <c r="Q1" i="4" l="1"/>
  <c r="N49" i="4"/>
  <c r="N50" i="4"/>
  <c r="M36" i="4"/>
  <c r="N19" i="4"/>
  <c r="N20" i="4"/>
  <c r="M21" i="4"/>
  <c r="N34" i="4"/>
  <c r="N35" i="4"/>
  <c r="M51" i="4"/>
  <c r="B34" i="4" l="1"/>
  <c r="B98" i="4"/>
  <c r="B162" i="4"/>
  <c r="B67" i="4"/>
  <c r="B163" i="4"/>
  <c r="B108" i="4"/>
  <c r="B69" i="4"/>
  <c r="B134" i="4"/>
  <c r="B171" i="4"/>
  <c r="B132" i="4"/>
  <c r="B141" i="4"/>
  <c r="B7" i="4"/>
  <c r="B71" i="4"/>
  <c r="B135" i="4"/>
  <c r="B168" i="4"/>
  <c r="B169" i="4"/>
  <c r="B42" i="4"/>
  <c r="B106" i="4"/>
  <c r="B170" i="4"/>
  <c r="B75" i="4"/>
  <c r="B179" i="4"/>
  <c r="B124" i="4"/>
  <c r="B93" i="4"/>
  <c r="B166" i="4"/>
  <c r="B12" i="4"/>
  <c r="B148" i="4"/>
  <c r="B173" i="4"/>
  <c r="B50" i="4"/>
  <c r="B114" i="4"/>
  <c r="B178" i="4"/>
  <c r="B83" i="4"/>
  <c r="B20" i="4"/>
  <c r="B140" i="4"/>
  <c r="B125" i="4"/>
  <c r="B19" i="4"/>
  <c r="B28" i="4"/>
  <c r="B172" i="4"/>
  <c r="B38" i="4"/>
  <c r="B58" i="4"/>
  <c r="B122" i="4"/>
  <c r="B11" i="4"/>
  <c r="B99" i="4"/>
  <c r="B44" i="4"/>
  <c r="B156" i="4"/>
  <c r="B157" i="4"/>
  <c r="B59" i="4"/>
  <c r="B36" i="4"/>
  <c r="B5" i="4"/>
  <c r="B110" i="4"/>
  <c r="B31" i="4"/>
  <c r="B95" i="4"/>
  <c r="B159" i="4"/>
  <c r="B81" i="4"/>
  <c r="B24" i="4"/>
  <c r="B88" i="4"/>
  <c r="B160" i="4"/>
  <c r="B65" i="4"/>
  <c r="B29" i="4"/>
  <c r="B101" i="4"/>
  <c r="B78" i="4"/>
  <c r="B130" i="4"/>
  <c r="B27" i="4"/>
  <c r="B107" i="4"/>
  <c r="B52" i="4"/>
  <c r="B164" i="4"/>
  <c r="B181" i="4"/>
  <c r="B91" i="4"/>
  <c r="B60" i="4"/>
  <c r="B150" i="4"/>
  <c r="B39" i="4"/>
  <c r="B103" i="4"/>
  <c r="B167" i="4"/>
  <c r="B32" i="4"/>
  <c r="B96" i="4"/>
  <c r="B73" i="4"/>
  <c r="B133" i="4"/>
  <c r="B94" i="4"/>
  <c r="B66" i="4"/>
  <c r="B45" i="4"/>
  <c r="B97" i="4"/>
  <c r="B176" i="4"/>
  <c r="B77" i="4"/>
  <c r="B10" i="4"/>
  <c r="B74" i="4"/>
  <c r="B138" i="4"/>
  <c r="B35" i="4"/>
  <c r="B123" i="4"/>
  <c r="B68" i="4"/>
  <c r="B180" i="4"/>
  <c r="B6" i="4"/>
  <c r="B115" i="4"/>
  <c r="B76" i="4"/>
  <c r="B61" i="4"/>
  <c r="B21" i="4"/>
  <c r="B47" i="4"/>
  <c r="B111" i="4"/>
  <c r="B175" i="4"/>
  <c r="B113" i="4"/>
  <c r="B40" i="4"/>
  <c r="B104" i="4"/>
  <c r="B9" i="4"/>
  <c r="B89" i="4"/>
  <c r="B117" i="4"/>
  <c r="B165" i="4"/>
  <c r="B102" i="4"/>
  <c r="B26" i="4"/>
  <c r="B90" i="4"/>
  <c r="B154" i="4"/>
  <c r="B51" i="4"/>
  <c r="B155" i="4"/>
  <c r="B18" i="4"/>
  <c r="B82" i="4"/>
  <c r="B146" i="4"/>
  <c r="B43" i="4"/>
  <c r="B139" i="4"/>
  <c r="B84" i="4"/>
  <c r="B13" i="4"/>
  <c r="B86" i="4"/>
  <c r="B131" i="4"/>
  <c r="B92" i="4"/>
  <c r="B85" i="4"/>
  <c r="B22" i="4"/>
  <c r="B55" i="4"/>
  <c r="B119" i="4"/>
  <c r="B183" i="4"/>
  <c r="B137" i="4"/>
  <c r="B48" i="4"/>
  <c r="B112" i="4"/>
  <c r="B17" i="4"/>
  <c r="B105" i="4"/>
  <c r="B149" i="4"/>
  <c r="B30" i="4"/>
  <c r="B126" i="4"/>
  <c r="B57" i="4"/>
  <c r="B23" i="4"/>
  <c r="K2" i="4" a="1"/>
  <c r="K2" i="4" s="1"/>
  <c r="B129" i="4"/>
  <c r="B41" i="4"/>
  <c r="B72" i="4"/>
  <c r="B144" i="4"/>
  <c r="B15" i="4"/>
  <c r="B182" i="4"/>
  <c r="B174" i="4"/>
  <c r="B151" i="4"/>
  <c r="B70" i="4"/>
  <c r="B152" i="4"/>
  <c r="B16" i="4"/>
  <c r="B116" i="4"/>
  <c r="B64" i="4"/>
  <c r="B142" i="4"/>
  <c r="B56" i="4"/>
  <c r="B143" i="4"/>
  <c r="B177" i="4"/>
  <c r="B127" i="4"/>
  <c r="B62" i="4"/>
  <c r="B161" i="4"/>
  <c r="B136" i="4"/>
  <c r="B8" i="4"/>
  <c r="B87" i="4"/>
  <c r="B147" i="4"/>
  <c r="B158" i="4"/>
  <c r="B14" i="4"/>
  <c r="B109" i="4"/>
  <c r="B54" i="4"/>
  <c r="B145" i="4"/>
  <c r="B128" i="4"/>
  <c r="B153" i="4"/>
  <c r="B79" i="4"/>
  <c r="B118" i="4"/>
  <c r="B33" i="4"/>
  <c r="B25" i="4"/>
  <c r="B46" i="4"/>
  <c r="B121" i="4"/>
  <c r="B120" i="4"/>
  <c r="B49" i="4"/>
  <c r="B63" i="4"/>
  <c r="B53" i="4"/>
  <c r="B37" i="4"/>
  <c r="B80" i="4"/>
  <c r="B4" i="4"/>
  <c r="B100" i="4"/>
  <c r="M23" i="4"/>
  <c r="M38" i="4"/>
  <c r="N21" i="4"/>
  <c r="N22" i="4"/>
  <c r="N36" i="4"/>
  <c r="N37" i="4"/>
  <c r="M53" i="4"/>
  <c r="N51" i="4"/>
  <c r="N52" i="4"/>
  <c r="G112" i="4" l="1" a="1"/>
  <c r="G112" i="4" s="1"/>
  <c r="E112" i="4" a="1"/>
  <c r="E112" i="4" s="1"/>
  <c r="E92" i="4" a="1"/>
  <c r="E92" i="4" s="1"/>
  <c r="G92" i="4" a="1"/>
  <c r="G92" i="4" s="1"/>
  <c r="E82" i="4" a="1"/>
  <c r="E82" i="4" s="1"/>
  <c r="G82" i="4" a="1"/>
  <c r="G82" i="4" s="1"/>
  <c r="H82" i="4" s="1"/>
  <c r="E165" i="4" a="1"/>
  <c r="E165" i="4" s="1"/>
  <c r="G165" i="4" a="1"/>
  <c r="G165" i="4" s="1"/>
  <c r="H165" i="4" s="1"/>
  <c r="G111" i="4" a="1"/>
  <c r="G111" i="4" s="1"/>
  <c r="E111" i="4" a="1"/>
  <c r="E111" i="4" s="1"/>
  <c r="G68" i="4" a="1"/>
  <c r="G68" i="4" s="1"/>
  <c r="E68" i="4" a="1"/>
  <c r="E68" i="4" s="1"/>
  <c r="G97" i="4" a="1"/>
  <c r="G97" i="4" s="1"/>
  <c r="H97" i="4" s="1"/>
  <c r="E97" i="4" a="1"/>
  <c r="E97" i="4" s="1"/>
  <c r="G167" i="4" a="1"/>
  <c r="G167" i="4" s="1"/>
  <c r="H167" i="4" s="1"/>
  <c r="E167" i="4" a="1"/>
  <c r="E167" i="4" s="1"/>
  <c r="E52" i="4" a="1"/>
  <c r="E52" i="4" s="1"/>
  <c r="G52" i="4" a="1"/>
  <c r="G52" i="4" s="1"/>
  <c r="G160" i="4" a="1"/>
  <c r="G160" i="4" s="1"/>
  <c r="E160" i="4" a="1"/>
  <c r="E160" i="4" s="1"/>
  <c r="G5" i="4" a="1"/>
  <c r="G5" i="4" s="1"/>
  <c r="H5" i="4" s="1"/>
  <c r="E5" i="4" a="1"/>
  <c r="E5" i="4" s="1"/>
  <c r="E122" i="4" a="1"/>
  <c r="E122" i="4" s="1"/>
  <c r="G122" i="4" a="1"/>
  <c r="G122" i="4" s="1"/>
  <c r="H122" i="4" s="1"/>
  <c r="E20" i="4" a="1"/>
  <c r="E20" i="4" s="1"/>
  <c r="G20" i="4" a="1"/>
  <c r="G20" i="4" s="1"/>
  <c r="G166" i="4" a="1"/>
  <c r="G166" i="4" s="1"/>
  <c r="E166" i="4" a="1"/>
  <c r="E166" i="4" s="1"/>
  <c r="G169" i="4" a="1"/>
  <c r="G169" i="4" s="1"/>
  <c r="H169" i="4" s="1"/>
  <c r="E169" i="4" a="1"/>
  <c r="E169" i="4" s="1"/>
  <c r="G134" i="4" a="1"/>
  <c r="G134" i="4" s="1"/>
  <c r="H134" i="4" s="1"/>
  <c r="E134" i="4" a="1"/>
  <c r="E134" i="4" s="1"/>
  <c r="G147" i="4" a="1"/>
  <c r="G147" i="4" s="1"/>
  <c r="E147" i="4" a="1"/>
  <c r="E147" i="4" s="1"/>
  <c r="E151" i="4" a="1"/>
  <c r="E151" i="4" s="1"/>
  <c r="G151" i="4" a="1"/>
  <c r="G151" i="4" s="1"/>
  <c r="E49" i="4" a="1"/>
  <c r="E49" i="4" s="1"/>
  <c r="G49" i="4" a="1"/>
  <c r="G49" i="4" s="1"/>
  <c r="H49" i="4" s="1"/>
  <c r="E153" i="4" a="1"/>
  <c r="E153" i="4" s="1"/>
  <c r="G153" i="4" a="1"/>
  <c r="G153" i="4" s="1"/>
  <c r="H153" i="4" s="1"/>
  <c r="G87" i="4" a="1"/>
  <c r="G87" i="4" s="1"/>
  <c r="E87" i="4" a="1"/>
  <c r="E87" i="4" s="1"/>
  <c r="G56" i="4" a="1"/>
  <c r="G56" i="4" s="1"/>
  <c r="E56" i="4" a="1"/>
  <c r="E56" i="4" s="1"/>
  <c r="G174" i="4" a="1"/>
  <c r="G174" i="4" s="1"/>
  <c r="E174" i="4" a="1"/>
  <c r="E174" i="4" s="1"/>
  <c r="G23" i="4" a="1"/>
  <c r="G23" i="4" s="1"/>
  <c r="H23" i="4" s="1"/>
  <c r="E23" i="4" a="1"/>
  <c r="E23" i="4" s="1"/>
  <c r="G48" i="4" a="1"/>
  <c r="G48" i="4" s="1"/>
  <c r="E48" i="4" a="1"/>
  <c r="E48" i="4" s="1"/>
  <c r="E131" i="4" a="1"/>
  <c r="E131" i="4" s="1"/>
  <c r="G131" i="4" a="1"/>
  <c r="G131" i="4" s="1"/>
  <c r="E18" i="4" a="1"/>
  <c r="E18" i="4" s="1"/>
  <c r="G18" i="4" a="1"/>
  <c r="G18" i="4" s="1"/>
  <c r="H18" i="4" s="1"/>
  <c r="E117" i="4" a="1"/>
  <c r="E117" i="4" s="1"/>
  <c r="G117" i="4" a="1"/>
  <c r="G117" i="4" s="1"/>
  <c r="H117" i="4" s="1"/>
  <c r="G47" i="4" a="1"/>
  <c r="G47" i="4" s="1"/>
  <c r="E47" i="4" a="1"/>
  <c r="E47" i="4" s="1"/>
  <c r="E123" i="4" a="1"/>
  <c r="E123" i="4" s="1"/>
  <c r="G123" i="4" a="1"/>
  <c r="G123" i="4" s="1"/>
  <c r="E45" i="4" a="1"/>
  <c r="E45" i="4" s="1"/>
  <c r="G45" i="4" a="1"/>
  <c r="G45" i="4" s="1"/>
  <c r="H45" i="4" s="1"/>
  <c r="E103" i="4" a="1"/>
  <c r="E103" i="4" s="1"/>
  <c r="G103" i="4" a="1"/>
  <c r="G103" i="4" s="1"/>
  <c r="H103" i="4" s="1"/>
  <c r="E107" i="4" a="1"/>
  <c r="E107" i="4" s="1"/>
  <c r="G107" i="4" a="1"/>
  <c r="G107" i="4" s="1"/>
  <c r="G88" i="4" a="1"/>
  <c r="G88" i="4" s="1"/>
  <c r="E88" i="4" a="1"/>
  <c r="E88" i="4" s="1"/>
  <c r="E36" i="4" a="1"/>
  <c r="E36" i="4" s="1"/>
  <c r="G36" i="4" a="1"/>
  <c r="G36" i="4" s="1"/>
  <c r="H36" i="4" s="1"/>
  <c r="G58" i="4" a="1"/>
  <c r="G58" i="4" s="1"/>
  <c r="H58" i="4" s="1"/>
  <c r="E58" i="4" a="1"/>
  <c r="E58" i="4" s="1"/>
  <c r="E83" i="4" a="1"/>
  <c r="E83" i="4" s="1"/>
  <c r="G83" i="4" a="1"/>
  <c r="G83" i="4" s="1"/>
  <c r="E93" i="4" a="1"/>
  <c r="E93" i="4" s="1"/>
  <c r="G93" i="4" a="1"/>
  <c r="G93" i="4" s="1"/>
  <c r="G168" i="4" a="1"/>
  <c r="G168" i="4" s="1"/>
  <c r="H168" i="4" s="1"/>
  <c r="E168" i="4" a="1"/>
  <c r="E168" i="4" s="1"/>
  <c r="E69" i="4" a="1"/>
  <c r="E69" i="4" s="1"/>
  <c r="G69" i="4" a="1"/>
  <c r="G69" i="4" s="1"/>
  <c r="H69" i="4" s="1"/>
  <c r="E100" i="4" a="1"/>
  <c r="E100" i="4" s="1"/>
  <c r="G100" i="4" a="1"/>
  <c r="G100" i="4" s="1"/>
  <c r="E121" i="4" a="1"/>
  <c r="E121" i="4" s="1"/>
  <c r="G121" i="4" a="1"/>
  <c r="G121" i="4" s="1"/>
  <c r="G145" i="4" a="1"/>
  <c r="G145" i="4" s="1"/>
  <c r="H145" i="4" s="1"/>
  <c r="E145" i="4" a="1"/>
  <c r="E145" i="4" s="1"/>
  <c r="G136" i="4" a="1"/>
  <c r="G136" i="4" s="1"/>
  <c r="H136" i="4" s="1"/>
  <c r="E136" i="4" a="1"/>
  <c r="E136" i="4" s="1"/>
  <c r="G64" i="4" a="1"/>
  <c r="G64" i="4" s="1"/>
  <c r="E64" i="4" a="1"/>
  <c r="E64" i="4" s="1"/>
  <c r="E15" i="4" a="1"/>
  <c r="E15" i="4" s="1"/>
  <c r="G15" i="4" a="1"/>
  <c r="G15" i="4" s="1"/>
  <c r="E126" i="4" a="1"/>
  <c r="E126" i="4" s="1"/>
  <c r="G126" i="4" a="1"/>
  <c r="G126" i="4" s="1"/>
  <c r="H126" i="4" s="1"/>
  <c r="G183" i="4" a="1"/>
  <c r="G183" i="4" s="1"/>
  <c r="H183" i="4" s="1"/>
  <c r="E183" i="4" a="1"/>
  <c r="E183" i="4" s="1"/>
  <c r="E13" i="4" a="1"/>
  <c r="E13" i="4" s="1"/>
  <c r="G13" i="4" a="1"/>
  <c r="G13" i="4" s="1"/>
  <c r="G51" i="4" a="1"/>
  <c r="G51" i="4" s="1"/>
  <c r="E51" i="4" a="1"/>
  <c r="E51" i="4" s="1"/>
  <c r="G9" i="4" a="1"/>
  <c r="G9" i="4" s="1"/>
  <c r="H9" i="4" s="1"/>
  <c r="E9" i="4" a="1"/>
  <c r="E9" i="4" s="1"/>
  <c r="G61" i="4" a="1"/>
  <c r="G61" i="4" s="1"/>
  <c r="H61" i="4" s="1"/>
  <c r="E61" i="4" a="1"/>
  <c r="E61" i="4" s="1"/>
  <c r="E138" i="4" a="1"/>
  <c r="E138" i="4" s="1"/>
  <c r="G138" i="4" a="1"/>
  <c r="G138" i="4" s="1"/>
  <c r="G94" i="4" a="1"/>
  <c r="G94" i="4" s="1"/>
  <c r="E94" i="4" a="1"/>
  <c r="E94" i="4" s="1"/>
  <c r="E150" i="4" a="1"/>
  <c r="E150" i="4" s="1"/>
  <c r="G150" i="4" a="1"/>
  <c r="G150" i="4" s="1"/>
  <c r="H150" i="4" s="1"/>
  <c r="E130" i="4" a="1"/>
  <c r="E130" i="4" s="1"/>
  <c r="G130" i="4" a="1"/>
  <c r="G130" i="4" s="1"/>
  <c r="H130" i="4" s="1"/>
  <c r="G81" i="4" a="1"/>
  <c r="G81" i="4" s="1"/>
  <c r="E81" i="4" a="1"/>
  <c r="E81" i="4" s="1"/>
  <c r="E157" i="4" a="1"/>
  <c r="E157" i="4" s="1"/>
  <c r="G157" i="4" a="1"/>
  <c r="G157" i="4" s="1"/>
  <c r="E172" i="4" a="1"/>
  <c r="E172" i="4" s="1"/>
  <c r="G172" i="4" a="1"/>
  <c r="G172" i="4" s="1"/>
  <c r="H172" i="4" s="1"/>
  <c r="E114" i="4" a="1"/>
  <c r="E114" i="4" s="1"/>
  <c r="G114" i="4" a="1"/>
  <c r="G114" i="4" s="1"/>
  <c r="H114" i="4" s="1"/>
  <c r="E179" i="4" a="1"/>
  <c r="E179" i="4" s="1"/>
  <c r="G179" i="4" a="1"/>
  <c r="G179" i="4" s="1"/>
  <c r="G71" i="4" a="1"/>
  <c r="G71" i="4" s="1"/>
  <c r="E71" i="4" a="1"/>
  <c r="E71" i="4" s="1"/>
  <c r="E163" i="4" a="1"/>
  <c r="E163" i="4" s="1"/>
  <c r="G163" i="4" a="1"/>
  <c r="G163" i="4" s="1"/>
  <c r="H163" i="4" s="1"/>
  <c r="G142" i="4" a="1"/>
  <c r="G142" i="4" s="1"/>
  <c r="H142" i="4" s="1"/>
  <c r="E142" i="4" a="1"/>
  <c r="E142" i="4" s="1"/>
  <c r="G86" i="4" a="1"/>
  <c r="G86" i="4" s="1"/>
  <c r="E86" i="4" a="1"/>
  <c r="E86" i="4" s="1"/>
  <c r="G21" i="4" a="1"/>
  <c r="G21" i="4" s="1"/>
  <c r="E21" i="4" a="1"/>
  <c r="E21" i="4" s="1"/>
  <c r="G66" i="4" a="1"/>
  <c r="G66" i="4" s="1"/>
  <c r="E66" i="4" a="1"/>
  <c r="E66" i="4" s="1"/>
  <c r="G39" i="4" a="1"/>
  <c r="G39" i="4" s="1"/>
  <c r="H39" i="4" s="1"/>
  <c r="E39" i="4" a="1"/>
  <c r="E39" i="4" s="1"/>
  <c r="E27" i="4" a="1"/>
  <c r="E27" i="4" s="1"/>
  <c r="G27" i="4" a="1"/>
  <c r="G27" i="4" s="1"/>
  <c r="E59" i="4" a="1"/>
  <c r="E59" i="4" s="1"/>
  <c r="G59" i="4" a="1"/>
  <c r="G59" i="4" s="1"/>
  <c r="G178" i="4" a="1"/>
  <c r="G178" i="4" s="1"/>
  <c r="H178" i="4" s="1"/>
  <c r="E178" i="4" a="1"/>
  <c r="E178" i="4" s="1"/>
  <c r="G124" i="4" a="1"/>
  <c r="G124" i="4" s="1"/>
  <c r="H124" i="4" s="1"/>
  <c r="E124" i="4" a="1"/>
  <c r="E124" i="4" s="1"/>
  <c r="G108" i="4" a="1"/>
  <c r="G108" i="4" s="1"/>
  <c r="E108" i="4" a="1"/>
  <c r="E108" i="4" s="1"/>
  <c r="G4" i="4" a="1"/>
  <c r="G4" i="4" s="1"/>
  <c r="E4" i="4" a="1"/>
  <c r="E4" i="4" s="1"/>
  <c r="G46" i="4" a="1"/>
  <c r="G46" i="4" s="1"/>
  <c r="H46" i="4" s="1"/>
  <c r="E46" i="4" a="1"/>
  <c r="E46" i="4" s="1"/>
  <c r="G54" i="4" a="1"/>
  <c r="G54" i="4" s="1"/>
  <c r="H54" i="4" s="1"/>
  <c r="E54" i="4" a="1"/>
  <c r="E54" i="4" s="1"/>
  <c r="G161" i="4" a="1"/>
  <c r="G161" i="4" s="1"/>
  <c r="E161" i="4" a="1"/>
  <c r="E161" i="4" s="1"/>
  <c r="E116" i="4" a="1"/>
  <c r="E116" i="4" s="1"/>
  <c r="G116" i="4" a="1"/>
  <c r="G116" i="4" s="1"/>
  <c r="G144" i="4" a="1"/>
  <c r="G144" i="4" s="1"/>
  <c r="H144" i="4" s="1"/>
  <c r="E144" i="4" a="1"/>
  <c r="E144" i="4" s="1"/>
  <c r="G30" i="4" a="1"/>
  <c r="G30" i="4" s="1"/>
  <c r="H30" i="4" s="1"/>
  <c r="E30" i="4" a="1"/>
  <c r="E30" i="4" s="1"/>
  <c r="G119" i="4" a="1"/>
  <c r="G119" i="4" s="1"/>
  <c r="E119" i="4" a="1"/>
  <c r="E119" i="4" s="1"/>
  <c r="E84" i="4" a="1"/>
  <c r="E84" i="4" s="1"/>
  <c r="G84" i="4" a="1"/>
  <c r="G84" i="4" s="1"/>
  <c r="E154" i="4" a="1"/>
  <c r="E154" i="4" s="1"/>
  <c r="G154" i="4" a="1"/>
  <c r="G154" i="4" s="1"/>
  <c r="H154" i="4" s="1"/>
  <c r="G104" i="4" a="1"/>
  <c r="G104" i="4" s="1"/>
  <c r="H104" i="4" s="1"/>
  <c r="E104" i="4" a="1"/>
  <c r="E104" i="4" s="1"/>
  <c r="E76" i="4" a="1"/>
  <c r="E76" i="4" s="1"/>
  <c r="G76" i="4" a="1"/>
  <c r="G76" i="4" s="1"/>
  <c r="E74" i="4" a="1"/>
  <c r="E74" i="4" s="1"/>
  <c r="G74" i="4" a="1"/>
  <c r="G74" i="4" s="1"/>
  <c r="E133" i="4" a="1"/>
  <c r="E133" i="4" s="1"/>
  <c r="G133" i="4" a="1"/>
  <c r="G133" i="4" s="1"/>
  <c r="H133" i="4" s="1"/>
  <c r="E60" i="4" a="1"/>
  <c r="E60" i="4" s="1"/>
  <c r="G60" i="4" a="1"/>
  <c r="G60" i="4" s="1"/>
  <c r="H60" i="4" s="1"/>
  <c r="E78" i="4" a="1"/>
  <c r="E78" i="4" s="1"/>
  <c r="G78" i="4" a="1"/>
  <c r="G78" i="4" s="1"/>
  <c r="G159" i="4" a="1"/>
  <c r="G159" i="4" s="1"/>
  <c r="E159" i="4" a="1"/>
  <c r="E159" i="4" s="1"/>
  <c r="E156" i="4" a="1"/>
  <c r="E156" i="4" s="1"/>
  <c r="G156" i="4" a="1"/>
  <c r="G156" i="4" s="1"/>
  <c r="H156" i="4" s="1"/>
  <c r="E28" i="4" a="1"/>
  <c r="E28" i="4" s="1"/>
  <c r="G28" i="4" a="1"/>
  <c r="G28" i="4" s="1"/>
  <c r="H28" i="4" s="1"/>
  <c r="E50" i="4" a="1"/>
  <c r="E50" i="4" s="1"/>
  <c r="G50" i="4" a="1"/>
  <c r="G50" i="4" s="1"/>
  <c r="E75" i="4" a="1"/>
  <c r="E75" i="4" s="1"/>
  <c r="G75" i="4" a="1"/>
  <c r="G75" i="4" s="1"/>
  <c r="G7" i="4" a="1"/>
  <c r="G7" i="4" s="1"/>
  <c r="H7" i="4" s="1"/>
  <c r="E7" i="4" a="1"/>
  <c r="E7" i="4" s="1"/>
  <c r="E67" i="4" a="1"/>
  <c r="E67" i="4" s="1"/>
  <c r="G67" i="4" a="1"/>
  <c r="G67" i="4" s="1"/>
  <c r="H67" i="4" s="1"/>
  <c r="G79" i="4" a="1"/>
  <c r="G79" i="4" s="1"/>
  <c r="H79" i="4" s="1"/>
  <c r="E79" i="4" a="1"/>
  <c r="E79" i="4" s="1"/>
  <c r="G120" i="4" a="1"/>
  <c r="G120" i="4" s="1"/>
  <c r="H120" i="4" s="1"/>
  <c r="E120" i="4" a="1"/>
  <c r="E120" i="4" s="1"/>
  <c r="E57" i="4" a="1"/>
  <c r="E57" i="4" s="1"/>
  <c r="G57" i="4" a="1"/>
  <c r="G57" i="4" s="1"/>
  <c r="H57" i="4" s="1"/>
  <c r="G89" i="4" a="1"/>
  <c r="G89" i="4" s="1"/>
  <c r="H89" i="4" s="1"/>
  <c r="E89" i="4" a="1"/>
  <c r="E89" i="4" s="1"/>
  <c r="G38" i="4" a="1"/>
  <c r="G38" i="4" s="1"/>
  <c r="H38" i="4" s="1"/>
  <c r="E38" i="4" a="1"/>
  <c r="E38" i="4" s="1"/>
  <c r="G80" i="4" a="1"/>
  <c r="G80" i="4" s="1"/>
  <c r="H80" i="4" s="1"/>
  <c r="E80" i="4" a="1"/>
  <c r="E80" i="4" s="1"/>
  <c r="G25" i="4" a="1"/>
  <c r="G25" i="4" s="1"/>
  <c r="H25" i="4" s="1"/>
  <c r="E25" i="4" a="1"/>
  <c r="E25" i="4" s="1"/>
  <c r="E109" i="4" a="1"/>
  <c r="E109" i="4" s="1"/>
  <c r="G109" i="4" a="1"/>
  <c r="G109" i="4" s="1"/>
  <c r="H109" i="4" s="1"/>
  <c r="G62" i="4" a="1"/>
  <c r="G62" i="4" s="1"/>
  <c r="H62" i="4" s="1"/>
  <c r="E62" i="4" a="1"/>
  <c r="E62" i="4" s="1"/>
  <c r="G16" i="4" a="1"/>
  <c r="G16" i="4" s="1"/>
  <c r="H16" i="4" s="1"/>
  <c r="E16" i="4" a="1"/>
  <c r="E16" i="4" s="1"/>
  <c r="G72" i="4" a="1"/>
  <c r="G72" i="4" s="1"/>
  <c r="H72" i="4" s="1"/>
  <c r="E72" i="4" a="1"/>
  <c r="E72" i="4" s="1"/>
  <c r="G149" i="4" a="1"/>
  <c r="G149" i="4" s="1"/>
  <c r="H149" i="4" s="1"/>
  <c r="E149" i="4" a="1"/>
  <c r="E149" i="4" s="1"/>
  <c r="G55" i="4" a="1"/>
  <c r="G55" i="4" s="1"/>
  <c r="H55" i="4" s="1"/>
  <c r="E55" i="4" a="1"/>
  <c r="E55" i="4" s="1"/>
  <c r="E139" i="4" a="1"/>
  <c r="E139" i="4" s="1"/>
  <c r="G139" i="4" a="1"/>
  <c r="G139" i="4" s="1"/>
  <c r="E90" i="4" a="1"/>
  <c r="E90" i="4" s="1"/>
  <c r="G90" i="4" a="1"/>
  <c r="G90" i="4" s="1"/>
  <c r="H90" i="4" s="1"/>
  <c r="E40" i="4" a="1"/>
  <c r="E40" i="4" s="1"/>
  <c r="G40" i="4" a="1"/>
  <c r="G40" i="4" s="1"/>
  <c r="H40" i="4" s="1"/>
  <c r="E115" i="4" a="1"/>
  <c r="E115" i="4" s="1"/>
  <c r="G115" i="4" a="1"/>
  <c r="G115" i="4" s="1"/>
  <c r="E10" i="4" a="1"/>
  <c r="E10" i="4" s="1"/>
  <c r="G10" i="4" a="1"/>
  <c r="G10" i="4" s="1"/>
  <c r="G73" i="4" a="1"/>
  <c r="G73" i="4" s="1"/>
  <c r="H73" i="4" s="1"/>
  <c r="E73" i="4" a="1"/>
  <c r="E73" i="4" s="1"/>
  <c r="E91" i="4" a="1"/>
  <c r="E91" i="4" s="1"/>
  <c r="G91" i="4" a="1"/>
  <c r="G91" i="4" s="1"/>
  <c r="H91" i="4" s="1"/>
  <c r="E101" i="4" a="1"/>
  <c r="E101" i="4" s="1"/>
  <c r="G101" i="4" a="1"/>
  <c r="G101" i="4" s="1"/>
  <c r="G95" i="4" a="1"/>
  <c r="G95" i="4" s="1"/>
  <c r="H95" i="4" s="1"/>
  <c r="E95" i="4" a="1"/>
  <c r="E95" i="4" s="1"/>
  <c r="E44" i="4" a="1"/>
  <c r="E44" i="4" s="1"/>
  <c r="G44" i="4" a="1"/>
  <c r="G44" i="4" s="1"/>
  <c r="H44" i="4" s="1"/>
  <c r="E19" i="4" a="1"/>
  <c r="E19" i="4" s="1"/>
  <c r="G19" i="4" a="1"/>
  <c r="G19" i="4" s="1"/>
  <c r="H19" i="4" s="1"/>
  <c r="G173" i="4" a="1"/>
  <c r="G173" i="4" s="1"/>
  <c r="H173" i="4" s="1"/>
  <c r="E173" i="4" a="1"/>
  <c r="E173" i="4" s="1"/>
  <c r="E170" i="4" a="1"/>
  <c r="E170" i="4" s="1"/>
  <c r="G170" i="4" a="1"/>
  <c r="G170" i="4" s="1"/>
  <c r="E141" i="4" a="1"/>
  <c r="E141" i="4" s="1"/>
  <c r="G141" i="4" a="1"/>
  <c r="G141" i="4" s="1"/>
  <c r="H141" i="4" s="1"/>
  <c r="E162" i="4" a="1"/>
  <c r="E162" i="4" s="1"/>
  <c r="G162" i="4" a="1"/>
  <c r="G162" i="4" s="1"/>
  <c r="H162" i="4" s="1"/>
  <c r="G63" i="4" a="1"/>
  <c r="G63" i="4" s="1"/>
  <c r="E63" i="4" a="1"/>
  <c r="E63" i="4" s="1"/>
  <c r="G143" i="4" a="1"/>
  <c r="G143" i="4" s="1"/>
  <c r="E143" i="4" a="1"/>
  <c r="E143" i="4" s="1"/>
  <c r="G128" i="4" a="1"/>
  <c r="G128" i="4" s="1"/>
  <c r="H128" i="4" s="1"/>
  <c r="E128" i="4" a="1"/>
  <c r="E128" i="4" s="1"/>
  <c r="G182" i="4" a="1"/>
  <c r="G182" i="4" s="1"/>
  <c r="H182" i="4" s="1"/>
  <c r="E182" i="4" a="1"/>
  <c r="E182" i="4" s="1"/>
  <c r="G155" i="4" a="1"/>
  <c r="G155" i="4" s="1"/>
  <c r="H155" i="4" s="1"/>
  <c r="E155" i="4" a="1"/>
  <c r="E155" i="4" s="1"/>
  <c r="E24" i="4" a="1"/>
  <c r="E24" i="4" s="1"/>
  <c r="G24" i="4" a="1"/>
  <c r="G24" i="4" s="1"/>
  <c r="H24" i="4" s="1"/>
  <c r="E37" i="4" a="1"/>
  <c r="E37" i="4" s="1"/>
  <c r="G37" i="4" a="1"/>
  <c r="G37" i="4" s="1"/>
  <c r="H37" i="4" s="1"/>
  <c r="E33" i="4" a="1"/>
  <c r="E33" i="4" s="1"/>
  <c r="G33" i="4" a="1"/>
  <c r="G33" i="4" s="1"/>
  <c r="H33" i="4" s="1"/>
  <c r="E14" i="4" a="1"/>
  <c r="E14" i="4" s="1"/>
  <c r="G14" i="4" a="1"/>
  <c r="G14" i="4" s="1"/>
  <c r="H14" i="4" s="1"/>
  <c r="G127" i="4" a="1"/>
  <c r="G127" i="4" s="1"/>
  <c r="H127" i="4" s="1"/>
  <c r="E127" i="4" a="1"/>
  <c r="E127" i="4" s="1"/>
  <c r="G152" i="4" a="1"/>
  <c r="G152" i="4" s="1"/>
  <c r="H152" i="4" s="1"/>
  <c r="E152" i="4" a="1"/>
  <c r="E152" i="4" s="1"/>
  <c r="G41" i="4" a="1"/>
  <c r="G41" i="4" s="1"/>
  <c r="H41" i="4" s="1"/>
  <c r="E41" i="4" a="1"/>
  <c r="E41" i="4" s="1"/>
  <c r="E105" i="4" a="1"/>
  <c r="E105" i="4" s="1"/>
  <c r="G105" i="4" a="1"/>
  <c r="G105" i="4" s="1"/>
  <c r="H105" i="4" s="1"/>
  <c r="G22" i="4" a="1"/>
  <c r="G22" i="4" s="1"/>
  <c r="H22" i="4" s="1"/>
  <c r="E22" i="4" a="1"/>
  <c r="E22" i="4" s="1"/>
  <c r="G43" i="4" a="1"/>
  <c r="G43" i="4" s="1"/>
  <c r="H43" i="4" s="1"/>
  <c r="E43" i="4" a="1"/>
  <c r="E43" i="4" s="1"/>
  <c r="E26" i="4" a="1"/>
  <c r="E26" i="4" s="1"/>
  <c r="G26" i="4" a="1"/>
  <c r="G26" i="4" s="1"/>
  <c r="H26" i="4" s="1"/>
  <c r="G113" i="4" a="1"/>
  <c r="G113" i="4" s="1"/>
  <c r="E113" i="4" a="1"/>
  <c r="E113" i="4" s="1"/>
  <c r="G6" i="4" a="1"/>
  <c r="G6" i="4" s="1"/>
  <c r="H6" i="4" s="1"/>
  <c r="E6" i="4" a="1"/>
  <c r="E6" i="4" s="1"/>
  <c r="E77" i="4" a="1"/>
  <c r="E77" i="4" s="1"/>
  <c r="G77" i="4" a="1"/>
  <c r="G77" i="4" s="1"/>
  <c r="H77" i="4" s="1"/>
  <c r="G96" i="4" a="1"/>
  <c r="G96" i="4" s="1"/>
  <c r="H96" i="4" s="1"/>
  <c r="E96" i="4" a="1"/>
  <c r="E96" i="4" s="1"/>
  <c r="G181" i="4" a="1"/>
  <c r="G181" i="4" s="1"/>
  <c r="H181" i="4" s="1"/>
  <c r="E181" i="4" a="1"/>
  <c r="E181" i="4" s="1"/>
  <c r="E29" i="4" a="1"/>
  <c r="E29" i="4" s="1"/>
  <c r="G29" i="4" a="1"/>
  <c r="G29" i="4" s="1"/>
  <c r="H29" i="4" s="1"/>
  <c r="G31" i="4" a="1"/>
  <c r="G31" i="4" s="1"/>
  <c r="H31" i="4" s="1"/>
  <c r="E31" i="4" a="1"/>
  <c r="E31" i="4" s="1"/>
  <c r="E99" i="4" a="1"/>
  <c r="E99" i="4" s="1"/>
  <c r="G99" i="4" a="1"/>
  <c r="G99" i="4" s="1"/>
  <c r="H99" i="4" s="1"/>
  <c r="E125" i="4" a="1"/>
  <c r="E125" i="4" s="1"/>
  <c r="G125" i="4" a="1"/>
  <c r="G125" i="4" s="1"/>
  <c r="H125" i="4" s="1"/>
  <c r="E148" i="4" a="1"/>
  <c r="E148" i="4" s="1"/>
  <c r="G148" i="4" a="1"/>
  <c r="G148" i="4" s="1"/>
  <c r="H148" i="4" s="1"/>
  <c r="E106" i="4" a="1"/>
  <c r="E106" i="4" s="1"/>
  <c r="G106" i="4" a="1"/>
  <c r="G106" i="4" s="1"/>
  <c r="H106" i="4" s="1"/>
  <c r="E132" i="4" a="1"/>
  <c r="E132" i="4" s="1"/>
  <c r="G132" i="4" a="1"/>
  <c r="G132" i="4" s="1"/>
  <c r="H132" i="4" s="1"/>
  <c r="E98" i="4" a="1"/>
  <c r="E98" i="4" s="1"/>
  <c r="G98" i="4" a="1"/>
  <c r="G98" i="4" s="1"/>
  <c r="G8" i="4" a="1"/>
  <c r="G8" i="4" s="1"/>
  <c r="H8" i="4" s="1"/>
  <c r="E8" i="4" a="1"/>
  <c r="E8" i="4" s="1"/>
  <c r="G137" i="4" a="1"/>
  <c r="G137" i="4" s="1"/>
  <c r="H137" i="4" s="1"/>
  <c r="E137" i="4" a="1"/>
  <c r="E137" i="4" s="1"/>
  <c r="G35" i="4" a="1"/>
  <c r="G35" i="4" s="1"/>
  <c r="H35" i="4" s="1"/>
  <c r="E35" i="4" a="1"/>
  <c r="E35" i="4" s="1"/>
  <c r="G135" i="4" a="1"/>
  <c r="G135" i="4" s="1"/>
  <c r="H135" i="4" s="1"/>
  <c r="E135" i="4" a="1"/>
  <c r="E135" i="4" s="1"/>
  <c r="E53" i="4" a="1"/>
  <c r="E53" i="4" s="1"/>
  <c r="G53" i="4" a="1"/>
  <c r="G53" i="4" s="1"/>
  <c r="H53" i="4" s="1"/>
  <c r="G118" i="4" a="1"/>
  <c r="G118" i="4" s="1"/>
  <c r="H118" i="4" s="1"/>
  <c r="E118" i="4" a="1"/>
  <c r="E118" i="4" s="1"/>
  <c r="G158" i="4" a="1"/>
  <c r="G158" i="4" s="1"/>
  <c r="H158" i="4" s="1"/>
  <c r="E158" i="4" a="1"/>
  <c r="E158" i="4" s="1"/>
  <c r="G177" i="4" a="1"/>
  <c r="G177" i="4" s="1"/>
  <c r="H177" i="4" s="1"/>
  <c r="E177" i="4" a="1"/>
  <c r="E177" i="4" s="1"/>
  <c r="G70" i="4" a="1"/>
  <c r="G70" i="4" s="1"/>
  <c r="H70" i="4" s="1"/>
  <c r="E70" i="4" a="1"/>
  <c r="E70" i="4" s="1"/>
  <c r="G129" i="4" a="1"/>
  <c r="G129" i="4" s="1"/>
  <c r="H129" i="4" s="1"/>
  <c r="E129" i="4" a="1"/>
  <c r="E129" i="4" s="1"/>
  <c r="E17" i="4" a="1"/>
  <c r="E17" i="4" s="1"/>
  <c r="G17" i="4" a="1"/>
  <c r="G17" i="4" s="1"/>
  <c r="H17" i="4" s="1"/>
  <c r="E85" i="4" a="1"/>
  <c r="E85" i="4" s="1"/>
  <c r="G85" i="4" a="1"/>
  <c r="G85" i="4" s="1"/>
  <c r="H85" i="4" s="1"/>
  <c r="E146" i="4" a="1"/>
  <c r="E146" i="4" s="1"/>
  <c r="G146" i="4" a="1"/>
  <c r="G146" i="4" s="1"/>
  <c r="H146" i="4" s="1"/>
  <c r="G102" i="4" a="1"/>
  <c r="G102" i="4" s="1"/>
  <c r="H102" i="4" s="1"/>
  <c r="E102" i="4" a="1"/>
  <c r="E102" i="4" s="1"/>
  <c r="G175" i="4" a="1"/>
  <c r="G175" i="4" s="1"/>
  <c r="H175" i="4" s="1"/>
  <c r="E175" i="4" a="1"/>
  <c r="E175" i="4" s="1"/>
  <c r="G180" i="4" a="1"/>
  <c r="G180" i="4" s="1"/>
  <c r="H180" i="4" s="1"/>
  <c r="E180" i="4" a="1"/>
  <c r="E180" i="4" s="1"/>
  <c r="E176" i="4" a="1"/>
  <c r="E176" i="4" s="1"/>
  <c r="G176" i="4" a="1"/>
  <c r="G176" i="4" s="1"/>
  <c r="H176" i="4" s="1"/>
  <c r="G32" i="4" a="1"/>
  <c r="G32" i="4" s="1"/>
  <c r="H32" i="4" s="1"/>
  <c r="E32" i="4" a="1"/>
  <c r="E32" i="4" s="1"/>
  <c r="E164" i="4" a="1"/>
  <c r="E164" i="4" s="1"/>
  <c r="G164" i="4" a="1"/>
  <c r="G164" i="4" s="1"/>
  <c r="H164" i="4" s="1"/>
  <c r="E65" i="4" a="1"/>
  <c r="E65" i="4" s="1"/>
  <c r="G65" i="4" a="1"/>
  <c r="G65" i="4" s="1"/>
  <c r="H65" i="4" s="1"/>
  <c r="G110" i="4" a="1"/>
  <c r="G110" i="4" s="1"/>
  <c r="H110" i="4" s="1"/>
  <c r="E110" i="4" a="1"/>
  <c r="E110" i="4" s="1"/>
  <c r="G11" i="4" a="1"/>
  <c r="G11" i="4" s="1"/>
  <c r="H11" i="4" s="1"/>
  <c r="E11" i="4" a="1"/>
  <c r="E11" i="4" s="1"/>
  <c r="E140" i="4" a="1"/>
  <c r="E140" i="4" s="1"/>
  <c r="G140" i="4" a="1"/>
  <c r="G140" i="4" s="1"/>
  <c r="H140" i="4" s="1"/>
  <c r="G12" i="4" a="1"/>
  <c r="G12" i="4" s="1"/>
  <c r="H12" i="4" s="1"/>
  <c r="E12" i="4" a="1"/>
  <c r="E12" i="4" s="1"/>
  <c r="E42" i="4" a="1"/>
  <c r="E42" i="4" s="1"/>
  <c r="G42" i="4" a="1"/>
  <c r="G42" i="4" s="1"/>
  <c r="H42" i="4" s="1"/>
  <c r="E171" i="4" a="1"/>
  <c r="E171" i="4" s="1"/>
  <c r="G171" i="4" a="1"/>
  <c r="G171" i="4" s="1"/>
  <c r="H171" i="4" s="1"/>
  <c r="G34" i="4" a="1"/>
  <c r="G34" i="4" s="1"/>
  <c r="H34" i="4" s="1"/>
  <c r="E34" i="4" a="1"/>
  <c r="E34" i="4" s="1"/>
  <c r="H112" i="4"/>
  <c r="H92" i="4"/>
  <c r="H111" i="4"/>
  <c r="H68" i="4"/>
  <c r="H52" i="4"/>
  <c r="H160" i="4"/>
  <c r="H20" i="4"/>
  <c r="H166" i="4"/>
  <c r="H63" i="4"/>
  <c r="H147" i="4"/>
  <c r="H143" i="4"/>
  <c r="H151" i="4"/>
  <c r="H87" i="4"/>
  <c r="H56" i="4"/>
  <c r="H174" i="4"/>
  <c r="H48" i="4"/>
  <c r="H131" i="4"/>
  <c r="H47" i="4"/>
  <c r="H123" i="4"/>
  <c r="H107" i="4"/>
  <c r="H88" i="4"/>
  <c r="H83" i="4"/>
  <c r="H93" i="4"/>
  <c r="H21" i="4"/>
  <c r="H59" i="4"/>
  <c r="H100" i="4"/>
  <c r="H121" i="4"/>
  <c r="H64" i="4"/>
  <c r="H15" i="4"/>
  <c r="H13" i="4"/>
  <c r="H51" i="4"/>
  <c r="H138" i="4"/>
  <c r="H94" i="4"/>
  <c r="H81" i="4"/>
  <c r="H157" i="4"/>
  <c r="H179" i="4"/>
  <c r="H71" i="4"/>
  <c r="H27" i="4"/>
  <c r="H4" i="4"/>
  <c r="H161" i="4"/>
  <c r="H116" i="4"/>
  <c r="H119" i="4"/>
  <c r="H84" i="4"/>
  <c r="H76" i="4"/>
  <c r="H74" i="4"/>
  <c r="H78" i="4"/>
  <c r="H159" i="4"/>
  <c r="H50" i="4"/>
  <c r="H75" i="4"/>
  <c r="H86" i="4"/>
  <c r="H66" i="4"/>
  <c r="H108" i="4"/>
  <c r="H139" i="4"/>
  <c r="H115" i="4"/>
  <c r="H10" i="4"/>
  <c r="H101" i="4"/>
  <c r="H170" i="4"/>
  <c r="H98" i="4"/>
  <c r="H113" i="4"/>
  <c r="N38" i="4"/>
  <c r="N39" i="4"/>
  <c r="M55" i="4"/>
  <c r="N53" i="4"/>
  <c r="N54" i="4"/>
  <c r="M40" i="4"/>
  <c r="N24" i="4"/>
  <c r="N23" i="4"/>
  <c r="O11" i="4"/>
  <c r="AL3" i="4" l="1" a="1"/>
  <c r="N40" i="4"/>
  <c r="N41" i="4"/>
  <c r="M57" i="4"/>
  <c r="N55" i="4"/>
  <c r="N56" i="4"/>
  <c r="O28" i="4"/>
  <c r="P12" i="4"/>
  <c r="P11" i="4"/>
  <c r="O13" i="4"/>
  <c r="AK4" i="4" l="1"/>
  <c r="AM4" i="4"/>
  <c r="AN4" i="4" s="1"/>
  <c r="AL3" i="4"/>
  <c r="P28" i="4"/>
  <c r="O45" i="4"/>
  <c r="P29" i="4"/>
  <c r="N57" i="4"/>
  <c r="N58" i="4"/>
  <c r="O30" i="4"/>
  <c r="O15" i="4"/>
  <c r="P13" i="4"/>
  <c r="P14" i="4"/>
  <c r="AO4" i="4" l="1" a="1"/>
  <c r="AO4" i="4" s="1"/>
  <c r="P45" i="4"/>
  <c r="P46" i="4"/>
  <c r="P15" i="4"/>
  <c r="O17" i="4"/>
  <c r="P16" i="4"/>
  <c r="O32" i="4"/>
  <c r="O47" i="4"/>
  <c r="P31" i="4"/>
  <c r="P30" i="4"/>
  <c r="P17" i="4" l="1"/>
  <c r="O19" i="4"/>
  <c r="P18" i="4"/>
  <c r="O34" i="4"/>
  <c r="P48" i="4"/>
  <c r="P47" i="4"/>
  <c r="P33" i="4"/>
  <c r="O49" i="4"/>
  <c r="P32" i="4"/>
  <c r="P50" i="4" l="1"/>
  <c r="P49" i="4"/>
  <c r="P19" i="4"/>
  <c r="O21" i="4"/>
  <c r="P20" i="4"/>
  <c r="O36" i="4"/>
  <c r="P35" i="4"/>
  <c r="O51" i="4"/>
  <c r="P34" i="4"/>
  <c r="P52" i="4" l="1"/>
  <c r="P51" i="4"/>
  <c r="P37" i="4"/>
  <c r="O53" i="4"/>
  <c r="P36" i="4"/>
  <c r="P21" i="4"/>
  <c r="O23" i="4"/>
  <c r="P22" i="4"/>
  <c r="O38" i="4"/>
  <c r="Q11" i="4" l="1"/>
  <c r="P23" i="4"/>
  <c r="P24" i="4"/>
  <c r="O40" i="4"/>
  <c r="P54" i="4"/>
  <c r="P53" i="4"/>
  <c r="P39" i="4"/>
  <c r="O55" i="4"/>
  <c r="P38" i="4"/>
  <c r="P56" i="4" l="1"/>
  <c r="P55" i="4"/>
  <c r="P41" i="4"/>
  <c r="O57" i="4"/>
  <c r="P40" i="4"/>
  <c r="R12" i="4"/>
  <c r="R11" i="4"/>
  <c r="Q28" i="4"/>
  <c r="Q13" i="4"/>
  <c r="Q45" i="4" l="1"/>
  <c r="R29" i="4"/>
  <c r="R28" i="4"/>
  <c r="P57" i="4"/>
  <c r="P58" i="4"/>
  <c r="Q30" i="4"/>
  <c r="Q15" i="4"/>
  <c r="R14" i="4"/>
  <c r="R13" i="4"/>
  <c r="R15" i="4" l="1"/>
  <c r="Q32" i="4"/>
  <c r="Q17" i="4"/>
  <c r="R16" i="4"/>
  <c r="R31" i="4"/>
  <c r="R30" i="4"/>
  <c r="Q47" i="4"/>
  <c r="R46" i="4"/>
  <c r="R45" i="4"/>
  <c r="Q49" i="4" l="1"/>
  <c r="R32" i="4"/>
  <c r="R33" i="4"/>
  <c r="R48" i="4"/>
  <c r="R47" i="4"/>
  <c r="R17" i="4"/>
  <c r="Q19" i="4"/>
  <c r="Q34" i="4"/>
  <c r="R18" i="4"/>
  <c r="Q51" i="4" l="1"/>
  <c r="R34" i="4"/>
  <c r="R35" i="4"/>
  <c r="R19" i="4"/>
  <c r="Q21" i="4"/>
  <c r="Q36" i="4"/>
  <c r="R20" i="4"/>
  <c r="R49" i="4"/>
  <c r="R50" i="4"/>
  <c r="Q53" i="4" l="1"/>
  <c r="R36" i="4"/>
  <c r="R37" i="4"/>
  <c r="R21" i="4"/>
  <c r="Q23" i="4"/>
  <c r="R22" i="4"/>
  <c r="Q38" i="4"/>
  <c r="R51" i="4"/>
  <c r="R52" i="4"/>
  <c r="Q55" i="4" l="1"/>
  <c r="R38" i="4"/>
  <c r="R39" i="4"/>
  <c r="R23" i="4"/>
  <c r="S11" i="4"/>
  <c r="Q40" i="4"/>
  <c r="R24" i="4"/>
  <c r="R53" i="4"/>
  <c r="R54" i="4"/>
  <c r="R41" i="4" l="1"/>
  <c r="Q57" i="4"/>
  <c r="R40" i="4"/>
  <c r="T12" i="4"/>
  <c r="S28" i="4"/>
  <c r="S13" i="4"/>
  <c r="T11" i="4"/>
  <c r="R55" i="4"/>
  <c r="R56" i="4"/>
  <c r="T13" i="4" l="1"/>
  <c r="T14" i="4"/>
  <c r="S15" i="4"/>
  <c r="S30" i="4"/>
  <c r="S45" i="4"/>
  <c r="T28" i="4"/>
  <c r="T29" i="4"/>
  <c r="R57" i="4"/>
  <c r="R58" i="4"/>
  <c r="T45" i="4" l="1"/>
  <c r="T46" i="4"/>
  <c r="S47" i="4"/>
  <c r="T30" i="4"/>
  <c r="T31" i="4"/>
  <c r="T16" i="4"/>
  <c r="S32" i="4"/>
  <c r="T15" i="4"/>
  <c r="S17" i="4"/>
  <c r="S49" i="4" l="1"/>
  <c r="T32" i="4"/>
  <c r="T33" i="4"/>
  <c r="T47" i="4"/>
  <c r="T48" i="4"/>
  <c r="T18" i="4"/>
  <c r="S34" i="4"/>
  <c r="T17" i="4"/>
  <c r="S19" i="4"/>
  <c r="S51" i="4" l="1"/>
  <c r="T34" i="4"/>
  <c r="T35" i="4"/>
  <c r="T20" i="4"/>
  <c r="S36" i="4"/>
  <c r="T19" i="4"/>
  <c r="S21" i="4"/>
  <c r="T50" i="4"/>
  <c r="T49" i="4"/>
  <c r="T22" i="4" l="1"/>
  <c r="S38" i="4"/>
  <c r="T21" i="4"/>
  <c r="S23" i="4"/>
  <c r="S53" i="4"/>
  <c r="T36" i="4"/>
  <c r="T37" i="4"/>
  <c r="T52" i="4"/>
  <c r="T51" i="4"/>
  <c r="T24" i="4" l="1"/>
  <c r="T23" i="4"/>
  <c r="U11" i="4"/>
  <c r="S55" i="4"/>
  <c r="T38" i="4"/>
  <c r="T39" i="4"/>
  <c r="T54" i="4"/>
  <c r="T53" i="4"/>
  <c r="T56" i="4" l="1"/>
  <c r="T55" i="4"/>
  <c r="U13" i="4"/>
  <c r="U28" i="4"/>
  <c r="V11" i="4"/>
  <c r="V12" i="4"/>
  <c r="U45" i="4" l="1"/>
  <c r="V28" i="4"/>
  <c r="V29" i="4"/>
  <c r="V13" i="4"/>
  <c r="U30" i="4"/>
  <c r="V14" i="4"/>
  <c r="U15" i="4"/>
  <c r="U32" i="4" l="1"/>
  <c r="V16" i="4"/>
  <c r="V15" i="4"/>
  <c r="U17" i="4"/>
  <c r="U47" i="4"/>
  <c r="V30" i="4"/>
  <c r="V31" i="4"/>
  <c r="V46" i="4"/>
  <c r="V45" i="4"/>
  <c r="V47" i="4" l="1"/>
  <c r="V48" i="4"/>
  <c r="U34" i="4"/>
  <c r="V18" i="4"/>
  <c r="V17" i="4"/>
  <c r="U19" i="4"/>
  <c r="V32" i="4"/>
  <c r="V33" i="4"/>
  <c r="U49" i="4"/>
  <c r="U21" i="4" l="1"/>
  <c r="U36" i="4"/>
  <c r="V20" i="4"/>
  <c r="V19" i="4"/>
  <c r="V34" i="4"/>
  <c r="V35" i="4"/>
  <c r="U51" i="4"/>
  <c r="V49" i="4"/>
  <c r="V50" i="4"/>
  <c r="V52" i="4" l="1"/>
  <c r="V51" i="4"/>
  <c r="V36" i="4"/>
  <c r="V37" i="4"/>
  <c r="U53" i="4"/>
  <c r="U38" i="4"/>
  <c r="V22" i="4"/>
  <c r="U23" i="4"/>
  <c r="V21" i="4"/>
  <c r="V24" i="4" l="1"/>
  <c r="U40" i="4"/>
  <c r="V23" i="4"/>
  <c r="W11" i="4"/>
  <c r="V38" i="4"/>
  <c r="V39" i="4"/>
  <c r="U55" i="4"/>
  <c r="V54" i="4"/>
  <c r="V53" i="4"/>
  <c r="V56" i="4" l="1"/>
  <c r="V55" i="4"/>
  <c r="W28" i="4"/>
  <c r="X11" i="4"/>
  <c r="X12" i="4"/>
  <c r="W13" i="4"/>
  <c r="V40" i="4"/>
  <c r="V41" i="4"/>
  <c r="U57" i="4"/>
  <c r="X14" i="4" l="1"/>
  <c r="W30" i="4"/>
  <c r="W15" i="4"/>
  <c r="X13" i="4"/>
  <c r="X28" i="4"/>
  <c r="X29" i="4"/>
  <c r="W45" i="4"/>
  <c r="V58" i="4"/>
  <c r="V57" i="4"/>
  <c r="X46" i="4" l="1"/>
  <c r="X45" i="4"/>
  <c r="W47" i="4"/>
  <c r="X30" i="4"/>
  <c r="X31" i="4"/>
  <c r="X16" i="4"/>
  <c r="X15" i="4"/>
  <c r="W17" i="4"/>
  <c r="W32" i="4"/>
  <c r="X18" i="4" l="1"/>
  <c r="X17" i="4"/>
  <c r="W19" i="4"/>
  <c r="W34" i="4"/>
  <c r="X48" i="4"/>
  <c r="X47" i="4"/>
  <c r="W49" i="4"/>
  <c r="X33" i="4"/>
  <c r="X32" i="4"/>
  <c r="W51" i="4" l="1"/>
  <c r="X35" i="4"/>
  <c r="X34" i="4"/>
  <c r="X20" i="4"/>
  <c r="X19" i="4"/>
  <c r="W21" i="4"/>
  <c r="W36" i="4"/>
  <c r="X50" i="4"/>
  <c r="X49" i="4"/>
  <c r="X22" i="4" l="1"/>
  <c r="X21" i="4"/>
  <c r="W23" i="4"/>
  <c r="W38" i="4"/>
  <c r="W53" i="4"/>
  <c r="X37" i="4"/>
  <c r="X36" i="4"/>
  <c r="X52" i="4"/>
  <c r="X51" i="4"/>
  <c r="X54" i="4" l="1"/>
  <c r="X53" i="4"/>
  <c r="W55" i="4"/>
  <c r="X39" i="4"/>
  <c r="X38" i="4"/>
  <c r="W40" i="4"/>
  <c r="X24" i="4"/>
  <c r="Y11" i="4"/>
  <c r="X23" i="4"/>
  <c r="X41" i="4" l="1"/>
  <c r="W57" i="4"/>
  <c r="X40" i="4"/>
  <c r="Z11" i="4"/>
  <c r="Y13" i="4"/>
  <c r="Y28" i="4"/>
  <c r="Z12" i="4"/>
  <c r="X56" i="4"/>
  <c r="X55" i="4"/>
  <c r="Z29" i="4" l="1"/>
  <c r="Y45" i="4"/>
  <c r="Z28" i="4"/>
  <c r="Z14" i="4"/>
  <c r="Y30" i="4"/>
  <c r="Y15" i="4"/>
  <c r="Z13" i="4"/>
  <c r="X58" i="4"/>
  <c r="X57" i="4"/>
  <c r="Z15" i="4" l="1"/>
  <c r="Y17" i="4"/>
  <c r="Y32" i="4"/>
  <c r="Z16" i="4"/>
  <c r="Z30" i="4"/>
  <c r="Z31" i="4"/>
  <c r="Y47" i="4"/>
  <c r="Z45" i="4"/>
  <c r="Z46" i="4"/>
  <c r="Z48" i="4" l="1"/>
  <c r="Z47" i="4"/>
  <c r="Y49" i="4"/>
  <c r="Z33" i="4"/>
  <c r="Z32" i="4"/>
  <c r="Z17" i="4"/>
  <c r="Y19" i="4"/>
  <c r="Y34" i="4"/>
  <c r="Z18" i="4"/>
  <c r="Y51" i="4" l="1"/>
  <c r="Z35" i="4"/>
  <c r="Z34" i="4"/>
  <c r="Z19" i="4"/>
  <c r="Y21" i="4"/>
  <c r="Y36" i="4"/>
  <c r="Z20" i="4"/>
  <c r="Z50" i="4"/>
  <c r="Z49" i="4"/>
  <c r="Z21" i="4" l="1"/>
  <c r="Y38" i="4"/>
  <c r="Y23" i="4"/>
  <c r="Z22" i="4"/>
  <c r="Y53" i="4"/>
  <c r="Z37" i="4"/>
  <c r="Z36" i="4"/>
  <c r="Z52" i="4"/>
  <c r="Z51" i="4"/>
  <c r="Y55" i="4" l="1"/>
  <c r="Z39" i="4"/>
  <c r="Z38" i="4"/>
  <c r="Z54" i="4"/>
  <c r="Z53" i="4"/>
  <c r="Z23" i="4"/>
  <c r="AA11" i="4"/>
  <c r="Y40" i="4"/>
  <c r="Z24" i="4"/>
  <c r="AA28" i="4" l="1"/>
  <c r="AA13" i="4"/>
  <c r="AB12" i="4"/>
  <c r="AB11" i="4"/>
  <c r="Y57" i="4"/>
  <c r="Z41" i="4"/>
  <c r="Z40" i="4"/>
  <c r="Z56" i="4"/>
  <c r="Z55" i="4"/>
  <c r="Z58" i="4" l="1"/>
  <c r="Z57" i="4"/>
  <c r="AB13" i="4"/>
  <c r="AA15" i="4"/>
  <c r="AB14" i="4"/>
  <c r="AA30" i="4"/>
  <c r="AB29" i="4"/>
  <c r="AA45" i="4"/>
  <c r="AB28" i="4"/>
  <c r="AB31" i="4" l="1"/>
  <c r="AA47" i="4"/>
  <c r="AB30" i="4"/>
  <c r="AB45" i="4"/>
  <c r="AB46" i="4"/>
  <c r="AA32" i="4"/>
  <c r="AB16" i="4"/>
  <c r="AB15" i="4"/>
  <c r="AA17" i="4"/>
  <c r="AA49" i="4" l="1"/>
  <c r="AB33" i="4"/>
  <c r="AB32" i="4"/>
  <c r="AB48" i="4"/>
  <c r="AB47" i="4"/>
  <c r="AA34" i="4"/>
  <c r="AB18" i="4"/>
  <c r="AB17" i="4"/>
  <c r="AA19" i="4"/>
  <c r="AA51" i="4" l="1"/>
  <c r="AB35" i="4"/>
  <c r="AB34" i="4"/>
  <c r="AA36" i="4"/>
  <c r="AB20" i="4"/>
  <c r="AB19" i="4"/>
  <c r="AA21" i="4"/>
  <c r="AB50" i="4"/>
  <c r="AB49" i="4"/>
  <c r="AA38" i="4" l="1"/>
  <c r="AB22" i="4"/>
  <c r="AB21" i="4"/>
  <c r="AA23" i="4"/>
  <c r="AA53" i="4"/>
  <c r="AB37" i="4"/>
  <c r="AB36" i="4"/>
  <c r="AB52" i="4"/>
  <c r="AB51" i="4"/>
  <c r="AB54" i="4" l="1"/>
  <c r="AB53" i="4"/>
  <c r="AA40" i="4"/>
  <c r="AB24" i="4"/>
  <c r="AB23" i="4"/>
  <c r="AC11" i="4"/>
  <c r="AA55" i="4"/>
  <c r="AB39" i="4"/>
  <c r="AB38" i="4"/>
  <c r="AB56" i="4" l="1"/>
  <c r="AB55" i="4"/>
  <c r="AC13" i="4"/>
  <c r="AC28" i="4"/>
  <c r="AD12" i="4"/>
  <c r="AD11" i="4"/>
  <c r="AA57" i="4"/>
  <c r="AB41" i="4"/>
  <c r="AB40" i="4"/>
  <c r="AB58" i="4" l="1"/>
  <c r="AB57" i="4"/>
  <c r="AC45" i="4"/>
  <c r="AD29" i="4"/>
  <c r="AD28" i="4"/>
  <c r="AD13" i="4"/>
  <c r="AC30" i="4"/>
  <c r="AD14" i="4"/>
  <c r="AC47" i="4" l="1"/>
  <c r="AD31" i="4"/>
  <c r="AD30" i="4"/>
  <c r="AD46" i="4"/>
  <c r="AD45" i="4"/>
  <c r="AD47" i="4" l="1"/>
  <c r="AD48"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<sst xmlns="http://schemas.openxmlformats.org/spreadsheetml/2006/main" count="929" uniqueCount="653">
  <si>
    <t>VisualId</t>
  </si>
  <si>
    <t>Lot</t>
  </si>
  <si>
    <t>LatoStartWW</t>
  </si>
  <si>
    <t>LotsSeqKey</t>
  </si>
  <si>
    <t>UnitTestingSeqKey</t>
  </si>
  <si>
    <t>TestName</t>
  </si>
  <si>
    <t>TestValue</t>
  </si>
  <si>
    <t>Operation</t>
  </si>
  <si>
    <t>TestNameNumber</t>
  </si>
  <si>
    <t>TestNameWithoutNumeric</t>
  </si>
  <si>
    <t>PPVRun_MC</t>
  </si>
  <si>
    <t>0X700</t>
  </si>
  <si>
    <t>8749</t>
  </si>
  <si>
    <t>0</t>
  </si>
  <si>
    <t>0X3FFFFFFFFF</t>
  </si>
  <si>
    <t>0X3F</t>
  </si>
  <si>
    <t>This will make a copy of the Check tab, into the selected visual IDs.</t>
  </si>
  <si>
    <t>MSCOD_BY_VAL</t>
  </si>
  <si>
    <t>Description</t>
  </si>
  <si>
    <t>sv.socket0.compute0.uncore.cha.cha0.util.mc_misc3.show()</t>
  </si>
  <si>
    <t xml:space="preserve"> UNCORRECTABLE_DATA_ERROR,</t>
  </si>
  <si>
    <t>0x00000000 : ismqsnpvalid (63:63) -- ISMQ SnoopResponse valid. Only valid for TOR Timeout.</t>
  </si>
  <si>
    <t xml:space="preserve"> UNCORRECTABLE_TAG_ERROR,</t>
  </si>
  <si>
    <t>0x00000000 : ismqdatavalid (62:62) -- ISMQ DataResponse valid. Only valid for TOR Timeout.</t>
  </si>
  <si>
    <t xml:space="preserve"> SAD_ERR_WB_TO_MMIO,</t>
  </si>
  <si>
    <t>0x00000000 : ismqndrvalid (59:59) -- ISMQ NonDataResponse valid. Only valid for TOR Timeout.</t>
  </si>
  <si>
    <t xml:space="preserve"> SAD_ERR_IA_ACCESS_TO_GSM,</t>
  </si>
  <si>
    <t>0x00000000 : ismqfsmstate (58:54) -- ISMQ FSM state</t>
  </si>
  <si>
    <t xml:space="preserve"> SAD_ERR_CORRUPTING_OTHER,</t>
  </si>
  <si>
    <t>0x00000000 : rhnid (53:50) -- Rhnid</t>
  </si>
  <si>
    <t xml:space="preserve"> SAD_ERR_NON_CORRUPTING_OTHER,</t>
  </si>
  <si>
    <t>0x00000000 : sadaddroffset (49:48) -- SadAddrOffset is not logged for  1. WbEFtoI 2. WbEFtoE 3. if sad errors are disabled 4. non-PIRQ opcodes</t>
  </si>
  <si>
    <t xml:space="preserve"> CORRECTABLE_DATA_ERROR,</t>
  </si>
  <si>
    <t>0x00000000 : sadtgtlocport (47:41) -- Sad Target LocPort field is use to track local portid information of various CHA targets.</t>
  </si>
  <si>
    <t xml:space="preserve"> MEM_POISON_DATA_ERROR,</t>
  </si>
  <si>
    <t>0x00000000 : monoverflow (40:40) -- monoverflow is not logged for 1. WbEFtoI 2. WbEFtoE 3. if sad errors are disabled</t>
  </si>
  <si>
    <t xml:space="preserve"> SAD_ERR_CRABABORT,</t>
  </si>
  <si>
    <t>0x00000000 : reqcv (39:39) -- requestor has the line cached</t>
  </si>
  <si>
    <t xml:space="preserve"> PARITY_DATA_ERROR,</t>
  </si>
  <si>
    <t>0x00000000 : cvone (38:38) -- atleast one non-requesting agent has the line cached</t>
  </si>
  <si>
    <t xml:space="preserve"> CORE_WB_MISS_LLC,</t>
  </si>
  <si>
    <t>0x00000000 : cvzero (37:37) -- no non-requesting agent has cached the line</t>
  </si>
  <si>
    <t xml:space="preserve"> TOR_TIMEOUT,</t>
  </si>
  <si>
    <t>0x00000000 : srcid (36:29) -- Src ID from the Dest</t>
  </si>
  <si>
    <t xml:space="preserve"> ISMQ_REQ_2_INVLD_TOR_ENTRY,</t>
  </si>
  <si>
    <t>0x00000000 : sadresult (28:26) -- SAD result</t>
  </si>
  <si>
    <t xml:space="preserve"> HA_PARITY_TRACKER_ERROR,</t>
  </si>
  <si>
    <t>0x00000000 : sadtgtpkg (25:22) -- SAD target package</t>
  </si>
  <si>
    <t xml:space="preserve"> COH_TT_ERR,</t>
  </si>
  <si>
    <t>0x00000000 : sadattr (21:20) -- SAD attribute</t>
  </si>
  <si>
    <t xml:space="preserve"> MULT_TOR_ENTRY_MATCH,</t>
  </si>
  <si>
    <t>0x00000000 : threadid (19:17) -- Thread ID associated with the logged error</t>
  </si>
  <si>
    <t xml:space="preserve"> MULT_LLC_WAY_TAG_MATCH,</t>
  </si>
  <si>
    <t>0x00000000 : rtid (16:05) -- RTID associated with the error</t>
  </si>
  <si>
    <t xml:space="preserve"> BL_REQ_RTID_TABLE_MISS,</t>
  </si>
  <si>
    <t>0x00000000 : sfway (04:00) -- SF Way</t>
  </si>
  <si>
    <t xml:space="preserve"> AK_REQ_RTID_TABLE_MISS,</t>
  </si>
  <si>
    <t xml:space="preserve"> IDI_JITTER_ERROR,</t>
  </si>
  <si>
    <t xml:space="preserve"> SEGR_PARITY_ERROR,</t>
  </si>
  <si>
    <t xml:space="preserve"> SINGR_PARITY_ERROR,</t>
  </si>
  <si>
    <t xml:space="preserve"> ADDR_PARITY_ERROR,</t>
  </si>
  <si>
    <t xml:space="preserve"> SAD_ERR_LTMEMLOCK,</t>
  </si>
  <si>
    <t xml:space="preserve">0x00000000 </t>
  </si>
  <si>
    <t xml:space="preserve"> val (63</t>
  </si>
  <si>
    <t>63) -- Valid flagIndicates (when set) that the information within the Mci_STATUS register is valid. When this flag is set, the processor follows the rules given for the OVER flag in the Mci_STATUS register when o...</t>
  </si>
  <si>
    <t xml:space="preserve"> LLC_TWOLM_CORR_ERR,</t>
  </si>
  <si>
    <t xml:space="preserve"> over (62</t>
  </si>
  <si>
    <t>62) -- Machine check overflow</t>
  </si>
  <si>
    <t xml:space="preserve"> LLC_TWOLM_UNCORR_ERR,</t>
  </si>
  <si>
    <t xml:space="preserve"> uc (61</t>
  </si>
  <si>
    <t>61) -- UC</t>
  </si>
  <si>
    <t xml:space="preserve"> Error uncorrected flagIndicates (when set) that the processor did not correct the error condition. When clear, this flag indicates that the processor was able to correct the error condition.</t>
  </si>
  <si>
    <t xml:space="preserve"> ISMQ_UNEXP_RSP,</t>
  </si>
  <si>
    <t xml:space="preserve"> en (60</t>
  </si>
  <si>
    <t>60) -- EN</t>
  </si>
  <si>
    <t xml:space="preserve"> Error enabled flagIndicates (when set) that signaling of the machine check exception for this error was enabled by an associated flag bit of the Mci_CTL register.</t>
  </si>
  <si>
    <t xml:space="preserve"> TWOLM_MULT_HIT,</t>
  </si>
  <si>
    <t xml:space="preserve"> miscv (59</t>
  </si>
  <si>
    <t>59) -- MISCV</t>
  </si>
  <si>
    <t xml:space="preserve"> The value held in the MC6_MISC_MSR is valid</t>
  </si>
  <si>
    <t xml:space="preserve"> HA_UNEXP_RSP,</t>
  </si>
  <si>
    <t xml:space="preserve"> addrv (58</t>
  </si>
  <si>
    <t>58) -- ADDRV</t>
  </si>
  <si>
    <t xml:space="preserve"> The address held in the MC6_ADDR_MSR is valid</t>
  </si>
  <si>
    <t xml:space="preserve"> SAD_ERR_RRQWBQ_TO_NONHOM,</t>
  </si>
  <si>
    <t xml:space="preserve"> pcc (57</t>
  </si>
  <si>
    <t>57) -- Processor context corrupt</t>
  </si>
  <si>
    <t xml:space="preserve"> SAD_ERR_IIOTONONHOM,</t>
  </si>
  <si>
    <t xml:space="preserve"> s (56</t>
  </si>
  <si>
    <t>56) -- S bit. Indicates (when set) that an MCE was generated for the recoverable error in this bank and MCE handler needs to take necessary recovery action and policy for this error. When clear, indicates that this...</t>
  </si>
  <si>
    <t xml:space="preserve"> SF_TWOLM_CORR_ERR,</t>
  </si>
  <si>
    <t xml:space="preserve"> ar (55</t>
  </si>
  <si>
    <t>55) -- Note</t>
  </si>
  <si>
    <t xml:space="preserve"> This bit is not implemented in JKT and will always return 0. Indicates (when set) that the recoverable error reported in this bank requires immediate recovery action in order to resume the execution f...</t>
  </si>
  <si>
    <t xml:space="preserve"> SF_TWOLM_UNCORR_ERR,</t>
  </si>
  <si>
    <t xml:space="preserve">0x00000001 </t>
  </si>
  <si>
    <t xml:space="preserve"> correrrorstatusind (54</t>
  </si>
  <si>
    <t>53) -- &lt;p&gt;These bits are used to indicate when the number of corrected errors has exceeded the safe threshold to the point where an uncorrected error has become more likely to happen.&lt;/p&gt; &lt;p&gt;00</t>
  </si>
  <si>
    <t xml:space="preserve"> No...</t>
  </si>
  <si>
    <t xml:space="preserve"> AK_BL_UQID_PTY_ERROR,</t>
  </si>
  <si>
    <t xml:space="preserve"> corr_err_count (52</t>
  </si>
  <si>
    <t>38) -- Correctable error count</t>
  </si>
  <si>
    <t xml:space="preserve"> WXSNP_WITH_SNPCOUNT_ZERO,</t>
  </si>
  <si>
    <t xml:space="preserve"> enh_mca_avail0 (37</t>
  </si>
  <si>
    <t>32) -- Available when enhanced MCA is in use. Bit 37 is FW_UPD. Bits 32-36 is OTHER_INFO</t>
  </si>
  <si>
    <t xml:space="preserve"> MEM_PUSH_WR_NS_S,</t>
  </si>
  <si>
    <t xml:space="preserve"> model_specific_error_code (31</t>
  </si>
  <si>
    <t>16) -- Unknown -- Model specific error code, error code definition as follows</t>
  </si>
  <si>
    <t xml:space="preserve">  MSCOD_UNCORRECTABLE_DATA_ERROR     = 16'h0001 ;  MSCOD_UNCORRECTABLE_TAG_ERROR      = 16'h0002 ;  MSCOD_SAD_ER...</t>
  </si>
  <si>
    <t xml:space="preserve"> SAD_ERR_UNSECURE_UPI_ACCESS,</t>
  </si>
  <si>
    <t xml:space="preserve"> mca_error_code (15</t>
  </si>
  <si>
    <t>00) -- MCA error code</t>
  </si>
  <si>
    <t xml:space="preserve"> CLFLUSH_MMIO_HIT_M,</t>
  </si>
  <si>
    <t xml:space="preserve"> SAD_ERR_IAL_ABORT,</t>
  </si>
  <si>
    <t xml:space="preserve"> SAD_ERR_TDX_ABORT,</t>
  </si>
  <si>
    <t xml:space="preserve"> IPQ_AUX_DATA_PARITY_ERR,</t>
  </si>
  <si>
    <t xml:space="preserve"> IRQ_AUX_DATA_PARITY_ERR,</t>
  </si>
  <si>
    <t xml:space="preserve"> TOR_AUX_DATA_PARITY_ERR,</t>
  </si>
  <si>
    <t xml:space="preserve"> SAD_ERR_ITOM_CFG,</t>
  </si>
  <si>
    <t xml:space="preserve"> AK_RSP_TDX_ERR,</t>
  </si>
  <si>
    <t xml:space="preserve"> BL_RSP_TDX_ERR,</t>
  </si>
  <si>
    <t xml:space="preserve"> AK_RSP_SGX_ERR,</t>
  </si>
  <si>
    <t xml:space="preserve"> BL_RSP_SGX_ERR,</t>
  </si>
  <si>
    <t xml:space="preserve"> AK_CXL_RSP_ERR</t>
  </si>
  <si>
    <t>Step</t>
  </si>
  <si>
    <t>_8749</t>
  </si>
  <si>
    <t>Unit</t>
  </si>
  <si>
    <t>PPVRun</t>
  </si>
  <si>
    <t>PC</t>
  </si>
  <si>
    <t>FAILS</t>
  </si>
  <si>
    <t>COMPUTE</t>
  </si>
  <si>
    <t>CORE</t>
  </si>
  <si>
    <t>MC_STATUS (CORE)</t>
  </si>
  <si>
    <t>CHA</t>
  </si>
  <si>
    <t>MC</t>
  </si>
  <si>
    <t>MC_STATUS (CHA)</t>
  </si>
  <si>
    <t>Bucketer MC Check</t>
  </si>
  <si>
    <t>PPVRuns</t>
  </si>
  <si>
    <t>MC_CODE</t>
  </si>
  <si>
    <t>Error_Code</t>
  </si>
  <si>
    <t>Address</t>
  </si>
  <si>
    <t>ioDIE0</t>
  </si>
  <si>
    <t>upi0</t>
  </si>
  <si>
    <t>hiop2 / stack4</t>
  </si>
  <si>
    <t>hiop4 / stack1</t>
  </si>
  <si>
    <t>UBOX</t>
  </si>
  <si>
    <t>upi1</t>
  </si>
  <si>
    <t>hiop1 / stack0</t>
  </si>
  <si>
    <t>hiop3 / stack2</t>
  </si>
  <si>
    <t>hiop5 / stack5</t>
  </si>
  <si>
    <t>hiop6 / stack3</t>
  </si>
  <si>
    <t>MDF</t>
  </si>
  <si>
    <t>cDIE0</t>
  </si>
  <si>
    <t>MC0</t>
  </si>
  <si>
    <t>MC4</t>
  </si>
  <si>
    <t>MC1</t>
  </si>
  <si>
    <t>MC5</t>
  </si>
  <si>
    <t>MC2</t>
  </si>
  <si>
    <t>MC6</t>
  </si>
  <si>
    <t>MC3</t>
  </si>
  <si>
    <t>MC7</t>
  </si>
  <si>
    <t>SPK</t>
  </si>
  <si>
    <t>cDIE1</t>
  </si>
  <si>
    <t>cDIE2</t>
  </si>
  <si>
    <t>ioDIE1</t>
  </si>
  <si>
    <t>hiop6 / stack9</t>
  </si>
  <si>
    <t>upi5</t>
  </si>
  <si>
    <t>pxp5 / PE5</t>
  </si>
  <si>
    <t>hiop3 / stack10</t>
  </si>
  <si>
    <t>hiop1 / stack8</t>
  </si>
  <si>
    <t>upi3</t>
  </si>
  <si>
    <t>hiop4 / stack11</t>
  </si>
  <si>
    <t>pxp5 / PE4</t>
  </si>
  <si>
    <t>upi4</t>
  </si>
  <si>
    <t>upi2</t>
  </si>
  <si>
    <t>202425</t>
  </si>
  <si>
    <t>DPMB_SOCKET0__COMPUTE0__UNCORE__CHA__CHA0__UTIL__MCA_BANK_8749</t>
  </si>
  <si>
    <t>DPMB_SOCKET0__COMPUTE0__UNCORE__CHA__CHA0__UTIL__MC_CTL_8749</t>
  </si>
  <si>
    <t>DPMB_SOCKET0__COMPUTE0__CPU__CORE0__DTLB_CR_MC2_CTL_8749</t>
  </si>
  <si>
    <t>DPMB_SOCKET0__COMPUTE0__CPU__CORE0__ML2_CR_MC3_ADDR_8749</t>
  </si>
  <si>
    <t>Seq</t>
  </si>
  <si>
    <t>Bucket</t>
  </si>
  <si>
    <t>74X97M1000031</t>
  </si>
  <si>
    <t>J424146EN3</t>
  </si>
  <si>
    <t>1</t>
  </si>
  <si>
    <t>0X7FA4C8C2</t>
  </si>
  <si>
    <t>DpmBucket</t>
  </si>
  <si>
    <t>DecimaSite</t>
  </si>
  <si>
    <t>DecimaWW</t>
  </si>
  <si>
    <t>DecimaBucket</t>
  </si>
  <si>
    <t>DpmBucketAccuracy</t>
  </si>
  <si>
    <t>ProductConfigurationName</t>
  </si>
  <si>
    <t>74UY667400068</t>
  </si>
  <si>
    <t>CORE IDI</t>
  </si>
  <si>
    <t>BinDesc</t>
  </si>
  <si>
    <t>TOR Info</t>
  </si>
  <si>
    <t>Orig Req</t>
  </si>
  <si>
    <t>Opcode</t>
  </si>
  <si>
    <t>cachestate</t>
  </si>
  <si>
    <t>TorID</t>
  </si>
  <si>
    <t>TorFSM</t>
  </si>
  <si>
    <t>SplitLock</t>
  </si>
  <si>
    <t>RspI</t>
  </si>
  <si>
    <t>LLC_I</t>
  </si>
  <si>
    <t>SAD Info</t>
  </si>
  <si>
    <t>MCA misc3</t>
  </si>
  <si>
    <t>SrcID</t>
  </si>
  <si>
    <t>ISMQ</t>
  </si>
  <si>
    <t>Attribute</t>
  </si>
  <si>
    <t>Result</t>
  </si>
  <si>
    <t>Local Port</t>
  </si>
  <si>
    <t>Wcmp</t>
  </si>
  <si>
    <t>MMCFG</t>
  </si>
  <si>
    <t>SPECIAL</t>
  </si>
  <si>
    <t>MCA misc</t>
  </si>
  <si>
    <t>CACHE_STATE_BY_VAL</t>
  </si>
  <si>
    <t>SAD_ATTR_BY_VAL</t>
  </si>
  <si>
    <t>TARGET_LOC_PORT_BY_VAL</t>
  </si>
  <si>
    <t>TOR_OPCODES_BY_VAL</t>
  </si>
  <si>
    <t>2</t>
  </si>
  <si>
    <t>SF_E</t>
  </si>
  <si>
    <t>DRAM</t>
  </si>
  <si>
    <t>UPI0</t>
  </si>
  <si>
    <t>464</t>
  </si>
  <si>
    <t>NOP</t>
  </si>
  <si>
    <t>SF_S</t>
  </si>
  <si>
    <t>UPI1</t>
  </si>
  <si>
    <t>257</t>
  </si>
  <si>
    <t>CRd</t>
  </si>
  <si>
    <t>3</t>
  </si>
  <si>
    <t>SF_H</t>
  </si>
  <si>
    <t>DDRT</t>
  </si>
  <si>
    <t>UPI2</t>
  </si>
  <si>
    <t>261</t>
  </si>
  <si>
    <t>CRd_UC</t>
  </si>
  <si>
    <t>11</t>
  </si>
  <si>
    <t>LLC_M</t>
  </si>
  <si>
    <t>HBM</t>
  </si>
  <si>
    <t>UPI3</t>
  </si>
  <si>
    <t>273</t>
  </si>
  <si>
    <t>CRd_Pref</t>
  </si>
  <si>
    <t>10</t>
  </si>
  <si>
    <t>LLC_E</t>
  </si>
  <si>
    <t>4</t>
  </si>
  <si>
    <t>UPI4</t>
  </si>
  <si>
    <t>270</t>
  </si>
  <si>
    <t>UCRdF</t>
  </si>
  <si>
    <t>9</t>
  </si>
  <si>
    <t>LLC_S</t>
  </si>
  <si>
    <t>5</t>
  </si>
  <si>
    <t>UPI5</t>
  </si>
  <si>
    <t>259</t>
  </si>
  <si>
    <t>SetMonitor</t>
  </si>
  <si>
    <t>8</t>
  </si>
  <si>
    <t>6</t>
  </si>
  <si>
    <t>MEM0</t>
  </si>
  <si>
    <t>258</t>
  </si>
  <si>
    <t>DRd</t>
  </si>
  <si>
    <t>12</t>
  </si>
  <si>
    <t>LLC_F</t>
  </si>
  <si>
    <t>7</t>
  </si>
  <si>
    <t>MEM1</t>
  </si>
  <si>
    <t>274</t>
  </si>
  <si>
    <t>DRd_Pref</t>
  </si>
  <si>
    <t>MEM2</t>
  </si>
  <si>
    <t>260</t>
  </si>
  <si>
    <t>DRd_Opt</t>
  </si>
  <si>
    <t>MEM3</t>
  </si>
  <si>
    <t>276</t>
  </si>
  <si>
    <t>DRd_Opt_Pref</t>
  </si>
  <si>
    <t>MEM4</t>
  </si>
  <si>
    <t>275</t>
  </si>
  <si>
    <t>DRd_NS</t>
  </si>
  <si>
    <t>ISMQ_FSM_BY_VAL</t>
  </si>
  <si>
    <t>SAD_RESULT_BY_VAL</t>
  </si>
  <si>
    <t>MEM5</t>
  </si>
  <si>
    <t>263</t>
  </si>
  <si>
    <t>PRd</t>
  </si>
  <si>
    <t>Ismq_Idle</t>
  </si>
  <si>
    <t>HOM</t>
  </si>
  <si>
    <t>MEM6</t>
  </si>
  <si>
    <t>262</t>
  </si>
  <si>
    <t>DRdPTE</t>
  </si>
  <si>
    <t>Arb_Valid</t>
  </si>
  <si>
    <t>MMIO</t>
  </si>
  <si>
    <t>13</t>
  </si>
  <si>
    <t>MEM7</t>
  </si>
  <si>
    <t>256</t>
  </si>
  <si>
    <t>RFO</t>
  </si>
  <si>
    <t>CFG</t>
  </si>
  <si>
    <t>14</t>
  </si>
  <si>
    <t>MEM8</t>
  </si>
  <si>
    <t>272</t>
  </si>
  <si>
    <t>RFO_Pref</t>
  </si>
  <si>
    <t>Wdata</t>
  </si>
  <si>
    <t>MMIO_PTL</t>
  </si>
  <si>
    <t>15</t>
  </si>
  <si>
    <t>MEM9</t>
  </si>
  <si>
    <t>287</t>
  </si>
  <si>
    <t>RFOWr</t>
  </si>
  <si>
    <t>Wdata_Wcmp</t>
  </si>
  <si>
    <t>IO</t>
  </si>
  <si>
    <t>16</t>
  </si>
  <si>
    <t>MEM10</t>
  </si>
  <si>
    <t>392</t>
  </si>
  <si>
    <t>ItoM</t>
  </si>
  <si>
    <t>Wxsnp</t>
  </si>
  <si>
    <t>LT</t>
  </si>
  <si>
    <t>17</t>
  </si>
  <si>
    <t>MEM11</t>
  </si>
  <si>
    <t>424</t>
  </si>
  <si>
    <t>ItoMCacheNear</t>
  </si>
  <si>
    <t>Wfwd</t>
  </si>
  <si>
    <t>18</t>
  </si>
  <si>
    <t>MEM12</t>
  </si>
  <si>
    <t>394</t>
  </si>
  <si>
    <t>SpecItoM</t>
  </si>
  <si>
    <t>Wdata_Wcmp_Split</t>
  </si>
  <si>
    <t>ABORT</t>
  </si>
  <si>
    <t>19</t>
  </si>
  <si>
    <t>MEM13</t>
  </si>
  <si>
    <t>393</t>
  </si>
  <si>
    <t>ItoMWr</t>
  </si>
  <si>
    <t>Pending</t>
  </si>
  <si>
    <t>20</t>
  </si>
  <si>
    <t>MEM14</t>
  </si>
  <si>
    <t>395</t>
  </si>
  <si>
    <t>ItoMWr_WT</t>
  </si>
  <si>
    <t>Arb_Valid_Wcmp</t>
  </si>
  <si>
    <t>21</t>
  </si>
  <si>
    <t>MEM15</t>
  </si>
  <si>
    <t>385</t>
  </si>
  <si>
    <t>ItoMWr_NS</t>
  </si>
  <si>
    <t>Pending_Wcmp</t>
  </si>
  <si>
    <t>22</t>
  </si>
  <si>
    <t>MEM16</t>
  </si>
  <si>
    <t>407</t>
  </si>
  <si>
    <t>ItoMWR_WT_NS</t>
  </si>
  <si>
    <t>Arb_Valid_Wdata_Wcmp_Split</t>
  </si>
  <si>
    <t>23</t>
  </si>
  <si>
    <t>MEM17</t>
  </si>
  <si>
    <t>397</t>
  </si>
  <si>
    <t>MemPushWr</t>
  </si>
  <si>
    <t>Pending_Wdata_Wcmp_Split</t>
  </si>
  <si>
    <t>24</t>
  </si>
  <si>
    <t>MEM18</t>
  </si>
  <si>
    <t>413</t>
  </si>
  <si>
    <t>MemPushWr_NS</t>
  </si>
  <si>
    <t>Arb_Valid_Wdata_Wcmp</t>
  </si>
  <si>
    <t>25</t>
  </si>
  <si>
    <t>MEM19</t>
  </si>
  <si>
    <t>410</t>
  </si>
  <si>
    <t>PrefData</t>
  </si>
  <si>
    <t>Pending_Wdata_Wcmp</t>
  </si>
  <si>
    <t>26</t>
  </si>
  <si>
    <t>MEM20</t>
  </si>
  <si>
    <t>409</t>
  </si>
  <si>
    <t>PrefCode</t>
  </si>
  <si>
    <t>Arb_Valid_Wxsnp</t>
  </si>
  <si>
    <t>27</t>
  </si>
  <si>
    <t>MEM21</t>
  </si>
  <si>
    <t>408</t>
  </si>
  <si>
    <t>PrefRFO</t>
  </si>
  <si>
    <t>Pending_Wxsnp</t>
  </si>
  <si>
    <t>28</t>
  </si>
  <si>
    <t>MEM22</t>
  </si>
  <si>
    <t>388</t>
  </si>
  <si>
    <t>WbMtoI</t>
  </si>
  <si>
    <t>29</t>
  </si>
  <si>
    <t>MEM23</t>
  </si>
  <si>
    <t>389</t>
  </si>
  <si>
    <t>WbMtoE</t>
  </si>
  <si>
    <t>30</t>
  </si>
  <si>
    <t>MEM24</t>
  </si>
  <si>
    <t>390</t>
  </si>
  <si>
    <t>WbEFtoI</t>
  </si>
  <si>
    <t>31</t>
  </si>
  <si>
    <t>MEM25</t>
  </si>
  <si>
    <t>391</t>
  </si>
  <si>
    <t>WbEFtoE</t>
  </si>
  <si>
    <t>32</t>
  </si>
  <si>
    <t>MEM26</t>
  </si>
  <si>
    <t>404</t>
  </si>
  <si>
    <t>WbOtoI</t>
  </si>
  <si>
    <t>33</t>
  </si>
  <si>
    <t>MEM27</t>
  </si>
  <si>
    <t>405</t>
  </si>
  <si>
    <t>WbOtoE</t>
  </si>
  <si>
    <t>34</t>
  </si>
  <si>
    <t>MEM28</t>
  </si>
  <si>
    <t>396</t>
  </si>
  <si>
    <t>WbStoI</t>
  </si>
  <si>
    <t>35</t>
  </si>
  <si>
    <t>MEM29</t>
  </si>
  <si>
    <t>420</t>
  </si>
  <si>
    <t>WbPushHint</t>
  </si>
  <si>
    <t>36</t>
  </si>
  <si>
    <t>MEM30</t>
  </si>
  <si>
    <t>421</t>
  </si>
  <si>
    <t>WbPMPushHint</t>
  </si>
  <si>
    <t>37</t>
  </si>
  <si>
    <t>MEM31</t>
  </si>
  <si>
    <t>271</t>
  </si>
  <si>
    <t>WiL</t>
  </si>
  <si>
    <t>38</t>
  </si>
  <si>
    <t>MEM32</t>
  </si>
  <si>
    <t>269</t>
  </si>
  <si>
    <t>WCiL</t>
  </si>
  <si>
    <t>39</t>
  </si>
  <si>
    <t>MEM33</t>
  </si>
  <si>
    <t>268</t>
  </si>
  <si>
    <t>WCiLF</t>
  </si>
  <si>
    <t>40</t>
  </si>
  <si>
    <t>MEM34</t>
  </si>
  <si>
    <t>277</t>
  </si>
  <si>
    <t>WCiL_NS</t>
  </si>
  <si>
    <t>41</t>
  </si>
  <si>
    <t>MEM35</t>
  </si>
  <si>
    <t>278</t>
  </si>
  <si>
    <t>WCiLF_NS</t>
  </si>
  <si>
    <t>42</t>
  </si>
  <si>
    <t>MEM36</t>
  </si>
  <si>
    <t>329</t>
  </si>
  <si>
    <t>WbInvd</t>
  </si>
  <si>
    <t>43</t>
  </si>
  <si>
    <t>MEM37</t>
  </si>
  <si>
    <t>331</t>
  </si>
  <si>
    <t>LLCWB</t>
  </si>
  <si>
    <t>44</t>
  </si>
  <si>
    <t>MEM38</t>
  </si>
  <si>
    <t>345</t>
  </si>
  <si>
    <t>PMSeqInvd</t>
  </si>
  <si>
    <t>45</t>
  </si>
  <si>
    <t>MEM39</t>
  </si>
  <si>
    <t>328</t>
  </si>
  <si>
    <t>Invd</t>
  </si>
  <si>
    <t>46</t>
  </si>
  <si>
    <t>MEM40</t>
  </si>
  <si>
    <t>280</t>
  </si>
  <si>
    <t>CLFlush</t>
  </si>
  <si>
    <t>47</t>
  </si>
  <si>
    <t>MEM41</t>
  </si>
  <si>
    <t>265</t>
  </si>
  <si>
    <t>PCommit</t>
  </si>
  <si>
    <t>48</t>
  </si>
  <si>
    <t>MEM42</t>
  </si>
  <si>
    <t>456</t>
  </si>
  <si>
    <t>Enqueue</t>
  </si>
  <si>
    <t>49</t>
  </si>
  <si>
    <t>MEM43</t>
  </si>
  <si>
    <t>316</t>
  </si>
  <si>
    <t>CLCleanse</t>
  </si>
  <si>
    <t>50</t>
  </si>
  <si>
    <t>MEM44</t>
  </si>
  <si>
    <t>282</t>
  </si>
  <si>
    <t>CLFlush_Opt</t>
  </si>
  <si>
    <t>51</t>
  </si>
  <si>
    <t>MEM45</t>
  </si>
  <si>
    <t>284</t>
  </si>
  <si>
    <t>CLWB</t>
  </si>
  <si>
    <t>52</t>
  </si>
  <si>
    <t>MEM46</t>
  </si>
  <si>
    <t>384</t>
  </si>
  <si>
    <t>CLDemote</t>
  </si>
  <si>
    <t>53</t>
  </si>
  <si>
    <t>MEM47</t>
  </si>
  <si>
    <t>286</t>
  </si>
  <si>
    <t>RdCurr</t>
  </si>
  <si>
    <t>54</t>
  </si>
  <si>
    <t>PCIE0</t>
  </si>
  <si>
    <t>285</t>
  </si>
  <si>
    <t>FsRdCur</t>
  </si>
  <si>
    <t>55</t>
  </si>
  <si>
    <t>PCIE1</t>
  </si>
  <si>
    <t>317</t>
  </si>
  <si>
    <t>FsRdCurPtl</t>
  </si>
  <si>
    <t>56</t>
  </si>
  <si>
    <t>PCIE2</t>
  </si>
  <si>
    <t>425</t>
  </si>
  <si>
    <t>RdCurrCacheNear</t>
  </si>
  <si>
    <t>57</t>
  </si>
  <si>
    <t>PCIE3</t>
  </si>
  <si>
    <t>472</t>
  </si>
  <si>
    <t>CBO_EOI</t>
  </si>
  <si>
    <t>58</t>
  </si>
  <si>
    <t>PCIE4</t>
  </si>
  <si>
    <t>475</t>
  </si>
  <si>
    <t>IntPriUp</t>
  </si>
  <si>
    <t>59</t>
  </si>
  <si>
    <t>PCIE5</t>
  </si>
  <si>
    <t>473</t>
  </si>
  <si>
    <t>IntLog</t>
  </si>
  <si>
    <t>60</t>
  </si>
  <si>
    <t>PCIE6</t>
  </si>
  <si>
    <t>474</t>
  </si>
  <si>
    <t>IntPhy</t>
  </si>
  <si>
    <t>61</t>
  </si>
  <si>
    <t>PCIE7</t>
  </si>
  <si>
    <t>468</t>
  </si>
  <si>
    <t>IntA</t>
  </si>
  <si>
    <t>62</t>
  </si>
  <si>
    <t>PCIE8</t>
  </si>
  <si>
    <t>479</t>
  </si>
  <si>
    <t>Lock</t>
  </si>
  <si>
    <t>63</t>
  </si>
  <si>
    <t>PCIE9</t>
  </si>
  <si>
    <t>448</t>
  </si>
  <si>
    <t>SpCyc</t>
  </si>
  <si>
    <t>64</t>
  </si>
  <si>
    <t>PCIE10</t>
  </si>
  <si>
    <t>478</t>
  </si>
  <si>
    <t>65</t>
  </si>
  <si>
    <t>PCIE11</t>
  </si>
  <si>
    <t>467</t>
  </si>
  <si>
    <t>Unlock</t>
  </si>
  <si>
    <t>66</t>
  </si>
  <si>
    <t>476</t>
  </si>
  <si>
    <t>PortIn</t>
  </si>
  <si>
    <t>469</t>
  </si>
  <si>
    <t>PortOut</t>
  </si>
  <si>
    <t>465</t>
  </si>
  <si>
    <t>ClrMonitor</t>
  </si>
  <si>
    <t>1280</t>
  </si>
  <si>
    <t>KRdCur</t>
  </si>
  <si>
    <t>1281</t>
  </si>
  <si>
    <t>KRdCode</t>
  </si>
  <si>
    <t>1282</t>
  </si>
  <si>
    <t>KRdData</t>
  </si>
  <si>
    <t>1283</t>
  </si>
  <si>
    <t>KRdDataMigratory</t>
  </si>
  <si>
    <t>1284</t>
  </si>
  <si>
    <t>KRdInvOwn</t>
  </si>
  <si>
    <t>1285</t>
  </si>
  <si>
    <t>KInvXtoI</t>
  </si>
  <si>
    <t>1287</t>
  </si>
  <si>
    <t>KInvItoE</t>
  </si>
  <si>
    <t>1295</t>
  </si>
  <si>
    <t>KInvItoM</t>
  </si>
  <si>
    <t>1292</t>
  </si>
  <si>
    <t>KRdInvOwnE</t>
  </si>
  <si>
    <t>1024</t>
  </si>
  <si>
    <t>KWbIData</t>
  </si>
  <si>
    <t>1025</t>
  </si>
  <si>
    <t>KWbSData</t>
  </si>
  <si>
    <t>1026</t>
  </si>
  <si>
    <t>KWbEData</t>
  </si>
  <si>
    <t>1027</t>
  </si>
  <si>
    <t>KNonSnpWr</t>
  </si>
  <si>
    <t>1036</t>
  </si>
  <si>
    <t>KEvctCln</t>
  </si>
  <si>
    <t>1037</t>
  </si>
  <si>
    <t>KNonSnpRd</t>
  </si>
  <si>
    <t>1028</t>
  </si>
  <si>
    <t>KWbIDataPtl</t>
  </si>
  <si>
    <t>1030</t>
  </si>
  <si>
    <t>KWbEDataPtl</t>
  </si>
  <si>
    <t>1031</t>
  </si>
  <si>
    <t>KNonSnpWrPtl</t>
  </si>
  <si>
    <t>1032</t>
  </si>
  <si>
    <t>KWbPushMtoI</t>
  </si>
  <si>
    <t>1035</t>
  </si>
  <si>
    <t>KWbFlush</t>
  </si>
  <si>
    <t>1792</t>
  </si>
  <si>
    <t>SnpCur</t>
  </si>
  <si>
    <t>1793</t>
  </si>
  <si>
    <t>SnpCode</t>
  </si>
  <si>
    <t>1794</t>
  </si>
  <si>
    <t>SnpData</t>
  </si>
  <si>
    <t>1795</t>
  </si>
  <si>
    <t>SnpDataMigratory</t>
  </si>
  <si>
    <t>1796</t>
  </si>
  <si>
    <t>SnpInvOwn</t>
  </si>
  <si>
    <t>1797</t>
  </si>
  <si>
    <t>SnpInvItoE</t>
  </si>
  <si>
    <t>RspS</t>
  </si>
  <si>
    <t>RspV</t>
  </si>
  <si>
    <t>RspDataM</t>
  </si>
  <si>
    <t>RspIFwdMPtl</t>
  </si>
  <si>
    <t>RspIFwdM</t>
  </si>
  <si>
    <t>RspIFwdFE</t>
  </si>
  <si>
    <t>RspSFwdFE</t>
  </si>
  <si>
    <t>RspNack</t>
  </si>
  <si>
    <t>RspVFwdV</t>
  </si>
  <si>
    <t>PullData</t>
  </si>
  <si>
    <t>PullDataPtl</t>
  </si>
  <si>
    <t>PullDataBogus</t>
  </si>
  <si>
    <t>Cmp</t>
  </si>
  <si>
    <t>Cmp_FwdCode</t>
  </si>
  <si>
    <t>Cmp_FwdInvItoE</t>
  </si>
  <si>
    <t>Cmp_PullData</t>
  </si>
  <si>
    <t>FwdCnflt</t>
  </si>
  <si>
    <t>Cmp_FwdInvOwn</t>
  </si>
  <si>
    <t>DataC</t>
  </si>
  <si>
    <t>DataNC</t>
  </si>
  <si>
    <t>DataC_Cmp</t>
  </si>
  <si>
    <t>FakeCycle</t>
  </si>
  <si>
    <t>Victim</t>
  </si>
  <si>
    <t>LLCVictim</t>
  </si>
  <si>
    <t>MKTMEVictim</t>
  </si>
  <si>
    <t>GsrIsInMstate</t>
  </si>
  <si>
    <t>TOR_TimeOut</t>
  </si>
  <si>
    <t>RSFVictim</t>
  </si>
  <si>
    <t>sv.socket0.compute1.uncore.cha.cha77.util.mc_misc.show()</t>
  </si>
  <si>
    <t>0x00000000 : bank_index (63:56) (rw/v/p) -- Machine Check Bank Index</t>
  </si>
  <si>
    <t>0x00000000 : torfsm (55:50) (rw/v/p) -- TOR FSM associated with the error</t>
  </si>
  <si>
    <t>0x00000000 : origreq (49:39) (rw/v/p) -- original IRQ/IPQ request associated with the error 2 Exceptions: #1 SnpData a...</t>
  </si>
  <si>
    <t>0x00000000 : torid (38:34) (rw/v/p) -- Entry in the TOR</t>
  </si>
  <si>
    <t>0x00000000 : opcode (33:23) (rw/v/p) -- pipe command associated with the error</t>
  </si>
  <si>
    <t>0x00000000 : monitorhit (22:22) (rw/v/p) -- MonitorHit bit associated with the error</t>
  </si>
  <si>
    <t>0x00000000 : rspcnflt_p (21:21) (rw/v/p) -- rspcnflt_p bit associated with the error</t>
  </si>
  <si>
    <t>0x00000000 : cachestate (20:17) (rw/v/p) -- TOR cache state assoicated with the error; this is the lookup state on an ...</t>
  </si>
  <si>
    <t>0x00000000 : way (16:12) (rw/v/p) -- The way associated with the looged error</t>
  </si>
  <si>
    <t>0x00000000 : allowsnoopp (11:11) (rw/v/p) -- Whether the TOR entry associated with the error was allowed to block snoops</t>
  </si>
  <si>
    <t>0x00000000 : gop (10:10) (rw/v/p) -- GO-pending state associated with the error</t>
  </si>
  <si>
    <t>0x00000000 : vicp (09:09) (rw/v/p) -- victim-pending state associated with the error</t>
  </si>
  <si>
    <t>0x00000002 : addrmode (08:06) (rw/v/p) -- Address Mode = 010 since we always have only PA in the SNB/JKT LLC</t>
  </si>
  <si>
    <t>0x00000000 : lsb_addr (05:00) (rw/v/p) -- Points to where the supported LSB in MCi_Addr in SNB/JKT LLC cases itqs alwa...</t>
  </si>
  <si>
    <t>VID</t>
  </si>
  <si>
    <t>Run</t>
  </si>
  <si>
    <t>Compute</t>
  </si>
  <si>
    <t>MC_STATUS</t>
  </si>
  <si>
    <t>MC_ADDR</t>
  </si>
  <si>
    <t>MC_MISC</t>
  </si>
  <si>
    <t>MC_MISC3</t>
  </si>
  <si>
    <t>Bin</t>
  </si>
  <si>
    <t>Ways</t>
  </si>
  <si>
    <t>LLC</t>
  </si>
  <si>
    <t>MSCOD</t>
  </si>
  <si>
    <t>MiscV</t>
  </si>
  <si>
    <t>RSF</t>
  </si>
  <si>
    <t>LSF</t>
  </si>
  <si>
    <t>MSCOD_BY_VAL_LLC</t>
  </si>
  <si>
    <t>NONE</t>
  </si>
  <si>
    <t>UNCORRECTABLE_TAG_ERROR</t>
  </si>
  <si>
    <t>SF_STCV_UNCORR_ERR</t>
  </si>
  <si>
    <t>UNCORRECTABLE_SF_TAG_ERROR</t>
  </si>
  <si>
    <t>LLC_STCV_UNCORR_ERR</t>
  </si>
  <si>
    <t>RSF_TAG_UNCORR_ERR</t>
  </si>
  <si>
    <t>RSF_ST_UNCORR_ERR</t>
  </si>
  <si>
    <t>LLC_TWOLM_UNCORR_ERR</t>
  </si>
  <si>
    <t>SF_TWOLM_UNCORR_ERR</t>
  </si>
  <si>
    <t>PARITY_DATA_ERROR</t>
  </si>
  <si>
    <t>UNCORRECTABLE_DATA_ERROR</t>
  </si>
  <si>
    <t>MEM_POISON_DATA_ERROR</t>
  </si>
  <si>
    <t>CORRECTABLE_DATA_ERROR</t>
  </si>
  <si>
    <t>SF_TAG_CORR_ERR</t>
  </si>
  <si>
    <t>SF_STCV_CORR_ERR</t>
  </si>
  <si>
    <t>LLC_TAG_CORR_ERR</t>
  </si>
  <si>
    <t>LLC_STCV_CORR_ERR</t>
  </si>
  <si>
    <t>RSF_TAG_CORR_ERR</t>
  </si>
  <si>
    <t>RSF_ST_CORR_ERR</t>
  </si>
  <si>
    <t>LLC_TWOLM_CORR_ERR</t>
  </si>
  <si>
    <t>SF_TWOLM_CORR_ERR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</si>
</sst>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000000"/>
      <name val="Calibri"/>
      <family val="2"/>
      <scheme val="minor"/>
    </font>
    <font>
      <sz val="8"/>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6"/>
      <color rgb="FFFF0000"/>
      <name val="Calibri"/>
      <family val="2"/>
      <scheme val="minor"/>
    </font>
    <font>
      <b/>
      <sz val="18"/>
      <color theme="1"/>
      <name val="Calibri"/>
      <family val="2"/>
      <scheme val="minor"/>
    </font>
    <font>
      <sz val="11"/>
      <color rgb="FF000000"/>
      <name val="Calibri"/>
      <family val="2"/>
    </font>
    <font>
      <b/>
      <sz val="11"/>
      <name val="Calibri"/>
      <family val="2"/>
      <scheme val="minor"/>
    </font>
    <font>
      <b/>
      <sz val="11"/>
      <color rgb="FFFF0000"/>
      <name val="Calibri"/>
      <family val="2"/>
      <scheme val="minor"/>
    </font>
    <font>
      <b/>
      <sz val="16"/>
      <color theme="1"/>
      <name val="Calibri"/>
      <family val="2"/>
      <scheme val="minor"/>
    </font>
    <font>
      <b/>
      <sz val="11"/>
      <color theme="0"/>
      <name val="Calibri"/>
      <family val="2"/>
    </font>
    <font>
      <sz val="11"/>
      <name val="Calibri"/>
      <family val="2"/>
      <scheme val="minor"/>
    </font>
  </fonts>
  <fills count="11">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theme="2" tint="-0.249977111117893"/>
        <bgColor indexed="64"/>
      </patternFill>
    </fill>
    <fill>
      <patternFill patternType="solid">
        <fgColor theme="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bottom/>
      <diagonal/>
    </border>
    <border>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theme="4" tint="0.39997558519241921"/>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66">
    <xf numFmtId="0" fontId="0" fillId="0" borderId="0" xfId="0"/>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3" borderId="1" xfId="0" applyFill="1" applyBorder="1" applyAlignment="1">
      <alignment horizontal="center" vertical="center" wrapText="1"/>
    </xf>
    <xf numFmtId="0" fontId="0" fillId="0" borderId="1" xfId="0" applyBorder="1"/>
    <xf numFmtId="0" fontId="0" fillId="7" borderId="8" xfId="0" applyFill="1" applyBorder="1" applyAlignment="1">
      <alignment horizontal="center" vertical="center"/>
    </xf>
    <xf numFmtId="0" fontId="0" fillId="0" borderId="10" xfId="0" applyBorder="1"/>
    <xf numFmtId="0" fontId="5" fillId="8" borderId="1" xfId="0" applyFont="1" applyFill="1" applyBorder="1"/>
    <xf numFmtId="0" fontId="3" fillId="8" borderId="1" xfId="0" applyFont="1" applyFill="1" applyBorder="1"/>
    <xf numFmtId="0" fontId="3" fillId="8" borderId="1" xfId="0" applyFont="1" applyFill="1" applyBorder="1" applyAlignment="1">
      <alignment horizontal="left"/>
    </xf>
    <xf numFmtId="0" fontId="3" fillId="8" borderId="0" xfId="0" applyFont="1" applyFill="1" applyAlignment="1">
      <alignment horizontal="center" vertical="center"/>
    </xf>
    <xf numFmtId="0" fontId="0" fillId="6" borderId="12" xfId="0" applyFill="1" applyBorder="1"/>
    <xf numFmtId="0" fontId="0" fillId="6" borderId="11" xfId="0" applyFill="1" applyBorder="1"/>
    <xf numFmtId="0" fontId="7" fillId="6" borderId="11" xfId="0" applyFont="1" applyFill="1" applyBorder="1" applyAlignment="1">
      <alignment horizontal="center" vertical="center"/>
    </xf>
    <xf numFmtId="0" fontId="0" fillId="9" borderId="8" xfId="0" applyFill="1" applyBorder="1" applyAlignment="1">
      <alignment horizontal="center" vertical="center"/>
    </xf>
    <xf numFmtId="0" fontId="9" fillId="5" borderId="1" xfId="0" applyFont="1" applyFill="1" applyBorder="1"/>
    <xf numFmtId="0" fontId="0" fillId="8" borderId="0" xfId="0" applyFill="1"/>
    <xf numFmtId="0" fontId="0" fillId="0" borderId="0" xfId="0" quotePrefix="1"/>
    <xf numFmtId="0" fontId="4" fillId="8" borderId="0" xfId="0" applyFont="1" applyFill="1" applyAlignment="1">
      <alignment horizontal="center" vertical="center"/>
    </xf>
    <xf numFmtId="0" fontId="0" fillId="6" borderId="1" xfId="0" applyFill="1" applyBorder="1"/>
    <xf numFmtId="0" fontId="0" fillId="0" borderId="5" xfId="0" applyBorder="1"/>
    <xf numFmtId="0" fontId="0" fillId="0" borderId="3" xfId="0" applyBorder="1"/>
    <xf numFmtId="0" fontId="3" fillId="0" borderId="16" xfId="0" applyFont="1" applyBorder="1"/>
    <xf numFmtId="0" fontId="0" fillId="0" borderId="17" xfId="0" applyBorder="1"/>
    <xf numFmtId="0" fontId="0" fillId="0" borderId="18" xfId="0" applyBorder="1"/>
    <xf numFmtId="0" fontId="0" fillId="0" borderId="4" xfId="0" applyBorder="1" applyAlignment="1">
      <alignment wrapText="1"/>
    </xf>
    <xf numFmtId="0" fontId="0" fillId="0" borderId="1" xfId="0" applyBorder="1" applyAlignment="1">
      <alignment wrapText="1"/>
    </xf>
    <xf numFmtId="0" fontId="0" fillId="0" borderId="18" xfId="0" applyBorder="1" applyAlignment="1">
      <alignment wrapText="1"/>
    </xf>
    <xf numFmtId="49" fontId="0" fillId="0" borderId="0" xfId="0" applyNumberFormat="1"/>
    <xf numFmtId="0" fontId="5" fillId="8" borderId="19" xfId="0" applyFont="1" applyFill="1" applyBorder="1"/>
    <xf numFmtId="0" fontId="0" fillId="10" borderId="1" xfId="0" applyFill="1" applyBorder="1"/>
    <xf numFmtId="0" fontId="5" fillId="8" borderId="18" xfId="0" applyFont="1" applyFill="1" applyBorder="1"/>
    <xf numFmtId="0" fontId="5" fillId="8" borderId="0" xfId="0" applyFont="1" applyFill="1"/>
    <xf numFmtId="0" fontId="12" fillId="0" borderId="4" xfId="0" applyFont="1" applyBorder="1" applyAlignment="1">
      <alignment horizontal="center" vertical="top"/>
    </xf>
    <xf numFmtId="0" fontId="13" fillId="0" borderId="0" xfId="0" applyFont="1"/>
    <xf numFmtId="0" fontId="0" fillId="10" borderId="18" xfId="0" applyFill="1" applyBorder="1"/>
    <xf numFmtId="0" fontId="0" fillId="3" borderId="1" xfId="0" applyFill="1" applyBorder="1" applyAlignment="1">
      <alignment horizontal="center" vertical="center"/>
    </xf>
    <xf numFmtId="0" fontId="0" fillId="0" borderId="3" xfId="0" applyBorder="1"/>
    <xf numFmtId="0" fontId="0" fillId="4" borderId="1" xfId="0" applyFill="1" applyBorder="1" applyAlignment="1">
      <alignment horizontal="center" vertical="center" wrapText="1"/>
    </xf>
    <xf numFmtId="0" fontId="11" fillId="10" borderId="12" xfId="0" applyFont="1" applyFill="1" applyBorder="1" applyAlignment="1">
      <alignment horizontal="center" vertical="center"/>
    </xf>
    <xf numFmtId="0" fontId="11" fillId="10" borderId="14" xfId="0" applyFont="1" applyFill="1" applyBorder="1" applyAlignment="1">
      <alignment horizontal="center" vertical="center"/>
    </xf>
    <xf numFmtId="0" fontId="11" fillId="10" borderId="15" xfId="0" applyFont="1" applyFill="1" applyBorder="1" applyAlignment="1">
      <alignment horizontal="center" vertical="center"/>
    </xf>
    <xf numFmtId="0" fontId="6" fillId="6" borderId="14" xfId="0" applyFont="1" applyFill="1" applyBorder="1" applyAlignment="1">
      <alignment horizontal="center" vertical="center"/>
    </xf>
    <xf numFmtId="0" fontId="6" fillId="6" borderId="15" xfId="0" applyFont="1" applyFill="1" applyBorder="1" applyAlignment="1">
      <alignment horizontal="center" vertical="center"/>
    </xf>
    <xf numFmtId="0" fontId="0" fillId="0" borderId="1" xfId="0" applyBorder="1" applyAlignment="1">
      <alignment horizontal="center" vertical="center" wrapText="1"/>
    </xf>
    <xf numFmtId="0" fontId="0" fillId="5" borderId="1" xfId="0" applyFill="1" applyBorder="1" applyAlignment="1">
      <alignment horizontal="center" vertical="center"/>
    </xf>
    <xf numFmtId="0" fontId="0" fillId="0" borderId="2" xfId="0" applyBorder="1"/>
    <xf numFmtId="0" fontId="0" fillId="4" borderId="1" xfId="0"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4" xfId="0" applyBorder="1"/>
    <xf numFmtId="0" fontId="0" fillId="0" borderId="1" xfId="0" applyBorder="1" applyAlignment="1">
      <alignment horizontal="center" vertical="center"/>
    </xf>
    <xf numFmtId="0" fontId="0" fillId="9" borderId="1" xfId="0" applyFill="1" applyBorder="1" applyAlignment="1">
      <alignment horizontal="center" vertical="center"/>
    </xf>
    <xf numFmtId="0" fontId="0" fillId="9" borderId="4" xfId="0" applyFill="1" applyBorder="1"/>
    <xf numFmtId="0" fontId="0" fillId="9" borderId="5" xfId="0" applyFill="1" applyBorder="1"/>
    <xf numFmtId="0" fontId="0" fillId="9" borderId="6" xfId="0" applyFill="1" applyBorder="1"/>
    <xf numFmtId="0" fontId="0" fillId="9" borderId="7" xfId="0" applyFill="1" applyBorder="1"/>
    <xf numFmtId="0" fontId="1" fillId="0" borderId="4" xfId="0" applyFont="1" applyBorder="1" applyAlignment="1">
      <alignment horizontal="center"/>
    </xf>
    <xf numFmtId="0" fontId="0" fillId="0" borderId="13" xfId="0" applyBorder="1"/>
    <xf numFmtId="0" fontId="7" fillId="6" borderId="12" xfId="0" applyFont="1" applyFill="1" applyBorder="1" applyAlignment="1">
      <alignment horizontal="center" vertical="center"/>
    </xf>
    <xf numFmtId="0" fontId="7" fillId="6" borderId="14" xfId="0" applyFont="1" applyFill="1" applyBorder="1" applyAlignment="1">
      <alignment horizontal="center" vertical="center"/>
    </xf>
    <xf numFmtId="0" fontId="10" fillId="6" borderId="14" xfId="0" applyFont="1" applyFill="1" applyBorder="1" applyAlignment="1">
      <alignment horizontal="center" vertical="center"/>
    </xf>
    <xf numFmtId="0" fontId="10" fillId="6" borderId="15" xfId="0" applyFont="1" applyFill="1" applyBorder="1" applyAlignment="1">
      <alignment horizontal="center" vertical="center"/>
    </xf>
    <xf numFmtId="0" fontId="3" fillId="8" borderId="9" xfId="0" applyFont="1" applyFill="1" applyBorder="1" applyAlignment="1">
      <alignment horizontal="center" vertical="center"/>
    </xf>
    <xf numFmtId="0" fontId="3" fillId="8" borderId="0" xfId="0" applyFont="1" applyFill="1" applyAlignment="1">
      <alignment horizontal="center" vertical="center"/>
    </xf>
  </cellXfs>
  <cellStyles count="1">
    <cellStyle name="Normal" xfId="0" builtinId="0"/>
  </cellStyles>
  <dxfs count="35">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color auto="1"/>
        <name val="Calibri"/>
      </font>
    </dxf>
    <dxf>
      <font>
        <strike val="0"/>
        <outline val="0"/>
        <shadow val="0"/>
        <u val="none"/>
        <vertAlign val="baseline"/>
        <sz val="11"/>
        <color auto="1"/>
        <name val="Calibri"/>
      </font>
    </dxf>
    <dxf>
      <border outline="0">
        <top style="thin">
          <color indexed="64"/>
        </top>
      </border>
    </dxf>
    <dxf>
      <font>
        <strike val="0"/>
        <outline val="0"/>
        <shadow val="0"/>
        <u val="none"/>
        <vertAlign val="baseline"/>
        <sz val="11"/>
        <color auto="1"/>
        <name val="Calibri"/>
      </font>
    </dxf>
    <dxf>
      <border outline="0">
        <bottom style="thin">
          <color indexed="64"/>
        </bottom>
      </border>
    </dxf>
    <dxf>
      <font>
        <b/>
        <i val="0"/>
        <strike val="0"/>
        <condense val="0"/>
        <extend val="0"/>
        <outline val="0"/>
        <shadow val="0"/>
        <u val="none"/>
        <vertAlign val="baseline"/>
        <sz val="11"/>
        <color theme="0"/>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left style="medium">
          <color rgb="FFA3A3A3"/>
        </left>
        <top style="medium">
          <color rgb="FFA3A3A3"/>
        </top>
        <bottom style="medium">
          <color rgb="FFA3A3A3"/>
        </bottom>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auto="1"/>
        </patternFill>
      </fill>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06/relationships/rdRichValue" Target="richData/rdrichvalue.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1</xdr:row>
          <xdr:rowOff>76200</xdr:rowOff>
        </xdr:from>
        <xdr:to>
          <xdr:col>7</xdr:col>
          <xdr:colOff>563880</xdr:colOff>
          <xdr:row>3</xdr:row>
          <xdr:rowOff>114300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MCA Check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281940</xdr:colOff>
          <xdr:row>0</xdr:row>
          <xdr:rowOff>190500</xdr:rowOff>
        </xdr:from>
        <xdr:to>
          <xdr:col>30</xdr:col>
          <xdr:colOff>152400</xdr:colOff>
          <xdr:row>1</xdr:row>
          <xdr:rowOff>304800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Mark MCAS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0</xdr:row>
          <xdr:rowOff>327660</xdr:rowOff>
        </xdr:from>
        <xdr:to>
          <xdr:col>43</xdr:col>
          <xdr:colOff>312420</xdr:colOff>
          <xdr:row>1</xdr:row>
          <xdr:rowOff>449580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Read MISC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167640</xdr:colOff>
          <xdr:row>1</xdr:row>
          <xdr:rowOff>38100</xdr:rowOff>
        </xdr:from>
        <xdr:to>
          <xdr:col>49</xdr:col>
          <xdr:colOff>601980</xdr:colOff>
          <xdr:row>1</xdr:row>
          <xdr:rowOff>426720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Read MISC3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350520</xdr:colOff>
          <xdr:row>0</xdr:row>
          <xdr:rowOff>182880</xdr:rowOff>
        </xdr:from>
        <xdr:to>
          <xdr:col>34</xdr:col>
          <xdr:colOff>0</xdr:colOff>
          <xdr:row>1</xdr:row>
          <xdr:rowOff>297180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MISC MCA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60960</xdr:colOff>
          <xdr:row>2</xdr:row>
          <xdr:rowOff>22860</xdr:rowOff>
        </xdr:from>
        <xdr:to>
          <xdr:col>16</xdr:col>
          <xdr:colOff>358140</xdr:colOff>
          <xdr:row>4</xdr:row>
          <xdr:rowOff>30480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Misc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2</xdr:row>
          <xdr:rowOff>22860</xdr:rowOff>
        </xdr:from>
        <xdr:to>
          <xdr:col>14</xdr:col>
          <xdr:colOff>358140</xdr:colOff>
          <xdr:row>4</xdr:row>
          <xdr:rowOff>30480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LLC Ways Check</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33750F-917A-4766-BA68-91395A9BE382}" name="cha_mc" displayName="cha_mc" ref="A1:K3" totalsRowShown="0">
  <autoFilter ref="A1:K3" xr:uid="{FC36B103-89C2-41D1-81E3-A912199F5C9F}"/>
  <tableColumns count="11">
    <tableColumn id="1" xr3:uid="{12B31C1E-0EB3-4C82-88E7-54167AC8DF80}" name="VisualId"/>
    <tableColumn id="2" xr3:uid="{80DE2E68-1D74-4EAD-80A9-4144F68C45D4}" name="Lot"/>
    <tableColumn id="3" xr3:uid="{0A2E8C25-E43F-4C7D-A6CC-0A72F08A2AAF}" name="LatoStartWW"/>
    <tableColumn id="4" xr3:uid="{5896A2B3-1C62-499A-8AFC-406AF5A545E3}" name="LotsSeqKey"/>
    <tableColumn id="5" xr3:uid="{262469E2-6FCE-4D38-AD60-7AFCF075EAED}" name="UnitTestingSeqKey"/>
    <tableColumn id="6" xr3:uid="{B490AF91-E61E-4D00-9A07-76F2720477EF}" name="TestName"/>
    <tableColumn id="7" xr3:uid="{49AAE4F9-D574-4D2C-A5E2-B516F235FA14}" name="TestValue"/>
    <tableColumn id="8" xr3:uid="{F7120CC3-0273-43DD-B433-AA977B23897A}" name="Operation"/>
    <tableColumn id="9" xr3:uid="{469AA545-A454-4036-8CA3-85DB9744289F}" name="TestNameNumber"/>
    <tableColumn id="10" xr3:uid="{F4486BB9-8EBB-4796-A792-020AEBC73AB2}" name="TestNameWithoutNumeric"/>
    <tableColumn id="11" xr3:uid="{3E29E89A-4EB3-4D6E-BC38-F103C02C26E7}" name="PPVRun_MC" dataDxfId="34">
      <calculatedColumnFormula>IF(cha_mc[[#This Row],[TestValue]]&lt;&gt;"0X20000000000000",cha_mc[[#This Row],[LotsSeqKey]]&amp;"-"&amp;cha_mc[[#This Row],[UnitTestingSeqKey]],"")</calculatedColumnFormula>
    </tableColumn>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A21F738-E9D2-46D9-9957-565579081A5B}" name="core_mc" displayName="core_mc" ref="A1:K3" totalsRowShown="0">
  <autoFilter ref="A1:K3" xr:uid="{2A21F738-E9D2-46D9-9957-565579081A5B}"/>
  <tableColumns count="11">
    <tableColumn id="1" xr3:uid="{4D455952-5D80-4A28-B841-61A6BFDF6994}" name="VisualId"/>
    <tableColumn id="2" xr3:uid="{B7893A74-E69B-47DA-BD4E-AB9FDD44B314}" name="Lot"/>
    <tableColumn id="3" xr3:uid="{A86373B6-9A35-4E52-AB86-19ADB8E48385}" name="LatoStartWW"/>
    <tableColumn id="4" xr3:uid="{F8BF38D1-C9E0-412F-8EAB-6BE5B16E2389}" name="LotsSeqKey"/>
    <tableColumn id="5" xr3:uid="{4FC94F89-C96A-4B4A-B877-C8D19973C9B6}" name="UnitTestingSeqKey"/>
    <tableColumn id="6" xr3:uid="{ADE2036A-B9AD-4BD1-934C-19BEC07C691D}" name="TestName"/>
    <tableColumn id="7" xr3:uid="{851ED962-5372-45F3-BBDD-EDC2B3B81E1F}" name="TestValue"/>
    <tableColumn id="8" xr3:uid="{BD64BBFC-FE97-4702-B4AC-F11C70B0E9B1}" name="Operation"/>
    <tableColumn id="9" xr3:uid="{23B54051-2A23-4C4D-958C-72ABED739074}" name="TestNameNumber"/>
    <tableColumn id="10" xr3:uid="{BFC4E21F-EF8B-413D-A1E2-8FA817E6F4AF}" name="TestNameWithoutNumeric"/>
    <tableColumn id="12" xr3:uid="{523F8EFA-ED88-411B-A36A-3969625F6763}" name="PPVRun_MC" dataDxfId="33">
      <calculatedColumnFormula>IF(core_mc[[#This Row],[TestValue]]&lt;&gt;"0X20000000000000",core_mc[[#This Row],[LotsSeqKey]]&amp;"-"&amp;core_mc[[#This Row],[UnitTestingSeqKey]],"")</calculatedColumnFormula>
    </tableColumn>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A933F09-926A-4490-A977-00C24515AF91}" name="ppv" displayName="ppv" ref="A1:H19" totalsRowShown="0" headerRowDxfId="32" dataDxfId="30" headerRowBorderDxfId="31" tableBorderDxfId="29">
  <autoFilter ref="A1:H19" xr:uid="{AA933F09-926A-4490-A977-00C24515AF91}"/>
  <tableColumns count="8">
    <tableColumn id="1" xr3:uid="{19E349E2-774C-47A1-A024-40BB2F3D14CE}" name="VisualId" dataDxfId="28"/>
    <tableColumn id="2" xr3:uid="{92E7782B-5271-47D4-AD25-A717DF9763C7}" name="DpmBucket" dataDxfId="27"/>
    <tableColumn id="3" xr3:uid="{D225E6D1-CE18-4757-A512-F63EF0C67A9F}" name="DecimaSite" dataDxfId="26"/>
    <tableColumn id="4" xr3:uid="{79C4A903-E2E7-474D-A3D1-34DBAD113695}" name="DecimaWW" dataDxfId="25"/>
    <tableColumn id="5" xr3:uid="{D36BA260-4CFB-44D0-B66F-F90FEE05065F}" name="DecimaBucket" dataDxfId="24"/>
    <tableColumn id="6" xr3:uid="{D5646CB5-9C98-4DB8-8C38-A03015695F56}" name="DpmBucketAccuracy" dataDxfId="23"/>
    <tableColumn id="7" xr3:uid="{31474B1E-BA37-4E23-BC3D-83DA0EF62C29}" name="ProductConfigurationName" dataDxfId="22"/>
    <tableColumn id="8" xr3:uid="{5BA9079E-092F-44BC-A5ED-AD4E497BA044}" name="BinDesc" dataDxfId="21"/>
  </tableColumns>
  <tableStyleInfo name="TableStyleMedium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64E72DE-EEFD-45DB-B406-3A222B5C51C8}" name="mscod" displayName="mscod" ref="R2:S51" totalsRowShown="0">
  <autoFilter ref="R2:S51" xr:uid="{664E72DE-EEFD-45DB-B406-3A222B5C51C8}"/>
  <tableColumns count="2">
    <tableColumn id="1" xr3:uid="{E31A2B31-BB02-4FD2-BD9E-A106F0274D23}" name="MSCOD_BY_VAL"/>
    <tableColumn id="2" xr3:uid="{A788FB74-CFE5-43E5-A14C-F8F027CA4BE9}" name="Description"/>
  </tableColumns>
  <tableStyleInfo name="TableStyleMedium1"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18F3D0B-DAEF-4ADA-A897-FB4CD5BEC8B7}" name="cachestate" displayName="cachestate" ref="U2:V10" totalsRowShown="0" headerRowDxfId="20" dataDxfId="18" headerRowBorderDxfId="19" tableBorderDxfId="17">
  <autoFilter ref="U2:V10" xr:uid="{C18F3D0B-DAEF-4ADA-A897-FB4CD5BEC8B7}"/>
  <tableColumns count="2">
    <tableColumn id="1" xr3:uid="{87648A64-C972-4B91-8DFD-8A4D963CA231}" name="CACHE_STATE_BY_VAL" dataDxfId="16"/>
    <tableColumn id="2" xr3:uid="{FFC382C5-1B6D-4086-8E61-157792E02346}" name="Description" dataDxfId="15"/>
  </tableColumns>
  <tableStyleInfo name="TableStyleMedium1"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BAF17D-7344-47E6-B994-3883B1722D45}" name="ismqfsm" displayName="ismqfsm" ref="U14:V31" totalsRowShown="0" headerRowDxfId="14" headerRowBorderDxfId="13" tableBorderDxfId="12">
  <autoFilter ref="U14:V31" xr:uid="{2EBAF17D-7344-47E6-B994-3883B1722D45}"/>
  <tableColumns count="2">
    <tableColumn id="1" xr3:uid="{8DFC7B23-D79E-463C-BF3A-AD82438C43A5}" name="ISMQ_FSM_BY_VAL"/>
    <tableColumn id="2" xr3:uid="{1E1FE33A-4E68-405B-BA64-7E1325701D25}" name="Description"/>
  </tableColumns>
  <tableStyleInfo name="TableStyleMedium1"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72BD5B2-5199-41AB-9E26-5AF8A197A446}" name="sadattr" displayName="sadattr" ref="X2:Y6" totalsRowShown="0" headerRowDxfId="11" headerRowBorderDxfId="10" tableBorderDxfId="9">
  <autoFilter ref="X2:Y6" xr:uid="{C72BD5B2-5199-41AB-9E26-5AF8A197A446}"/>
  <tableColumns count="2">
    <tableColumn id="1" xr3:uid="{8A35F256-7CE0-49FE-9612-B268026828BE}" name="SAD_ATTR_BY_VAL"/>
    <tableColumn id="2" xr3:uid="{15981ED8-02A1-47E7-870A-1C4E7924FFCE}" name="Description"/>
  </tableColumns>
  <tableStyleInfo name="TableStyleMedium1"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92853FA-1674-4274-9A2E-D348A51A9D37}" name="sadresult" displayName="sadresult" ref="X14:Y22" totalsRowShown="0" headerRowDxfId="8" headerRowBorderDxfId="7" tableBorderDxfId="6">
  <autoFilter ref="X14:Y22" xr:uid="{D92853FA-1674-4274-9A2E-D348A51A9D37}"/>
  <tableColumns count="2">
    <tableColumn id="1" xr3:uid="{49EB631E-B832-44B6-A006-7A976B065024}" name="SAD_RESULT_BY_VAL"/>
    <tableColumn id="2" xr3:uid="{085D8A96-BC87-47DD-945E-B618C6926C83}" name="Description"/>
  </tableColumns>
  <tableStyleInfo name="TableStyleMedium1"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36D4AA7-DE94-4782-97FF-E431D8575B01}" name="locport" displayName="locport" ref="AA2:AB69" totalsRowShown="0" headerRowDxfId="5" headerRowBorderDxfId="4" tableBorderDxfId="3">
  <autoFilter ref="AA2:AB69" xr:uid="{936D4AA7-DE94-4782-97FF-E431D8575B01}"/>
  <tableColumns count="2">
    <tableColumn id="1" xr3:uid="{C295F14C-0DF6-4E3A-8AF2-6E729E37C61B}" name="TARGET_LOC_PORT_BY_VAL"/>
    <tableColumn id="2" xr3:uid="{AA859913-7ADC-4312-972D-9EC3747C5C98}" name="Description"/>
  </tableColumns>
  <tableStyleInfo name="TableStyleMedium1"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6DED7BB-E991-4599-8415-3F547DAFB9AB}" name="opcodes" displayName="opcodes" ref="AD2:AE126" totalsRowShown="0" headerRowDxfId="2" headerRowBorderDxfId="1" tableBorderDxfId="0">
  <autoFilter ref="AD2:AE126" xr:uid="{06DED7BB-E991-4599-8415-3F547DAFB9AB}"/>
  <tableColumns count="2">
    <tableColumn id="1" xr3:uid="{9904B0DA-E019-4CF3-871F-CD9061CB2662}" name="TOR_OPCODES_BY_VAL"/>
    <tableColumn id="2" xr3:uid="{9518CA32-0047-4E4A-8347-9D643165AB4A}" name="Description"/>
  </tableColumns>
  <tableStyleInfo name="TableStyleMedium1"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D416772-96CA-447A-9E77-9C0F4C30D643}" name="mscodLLC" displayName="mscodLLC" ref="R58:S107" totalsRowShown="0">
  <autoFilter ref="R58:S107" xr:uid="{3D416772-96CA-447A-9E77-9C0F4C30D643}"/>
  <tableColumns count="2">
    <tableColumn id="1" xr3:uid="{7E794322-0585-43D4-B2F1-BBF1D1E451FE}" name="MSCOD_BY_VAL_LLC"/>
    <tableColumn id="2" xr3:uid="{DBD885A1-84F6-45D4-AF56-BD16F70A46A4}" name="Description"/>
  </tableColumns>
  <tableStyleInfo name="TableStyleMedium1"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table" Target="../tables/table4.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6B103-89C2-41D1-81E3-A912199F5C9F}">
  <sheetPr codeName="Sheet1"/>
  <dimension ref="A1:K3"/>
  <sheetViews>
    <sheetView topLeftCell="F1" workbookViewId="0">
      <selection activeCell="K1" sqref="K1:K1048576"/>
    </sheetView>
  </sheetViews>
  <sheetFormatPr defaultRowHeight="14.4" x14ac:dyDescent="0.3"/>
  <cols>
    <col min="1" max="1" width="15" bestFit="1" customWidth="1"/>
    <col min="2" max="2" width="11" bestFit="1" customWidth="1"/>
    <col min="3" max="3" width="14.44140625" customWidth="1"/>
    <col min="4" max="4" width="12.6640625" customWidth="1"/>
    <col min="5" max="5" width="19.33203125" customWidth="1"/>
    <col min="6" max="6" width="96.109375" bestFit="1" customWidth="1"/>
    <col min="7" max="7" width="19.5546875" bestFit="1" customWidth="1"/>
    <col min="8" max="8" width="11.6640625" customWidth="1"/>
    <col min="9" max="9" width="18.6640625" customWidth="1"/>
    <col min="10" max="10" width="96.109375" bestFit="1" customWidth="1"/>
    <col min="11" max="11" width="20.109375" style="28" customWidth="1"/>
  </cols>
  <sheetData>
    <row r="1" spans="1:11" x14ac:dyDescent="0.3">
      <c r="A1" t="s">
        <v>0</v>
      </c>
      <c r="B1" t="s">
        <v>1</v>
      </c>
      <c r="C1" t="s">
        <v>2</v>
      </c>
      <c r="D1" t="s">
        <v>3</v>
      </c>
      <c r="E1" t="s">
        <v>4</v>
      </c>
      <c r="F1" t="s">
        <v>5</v>
      </c>
      <c r="G1" t="s">
        <v>6</v>
      </c>
      <c r="H1" t="s">
        <v>7</v>
      </c>
      <c r="I1" t="s">
        <v>8</v>
      </c>
      <c r="J1" t="s">
        <v>9</v>
      </c>
      <c r="K1" s="28" t="s">
        <v>10</v>
      </c>
    </row>
    <row r="2" spans="1:11" x14ac:dyDescent="0.3">
      <c r="A2" t="s">
        <v>182</v>
      </c>
      <c r="B2" t="s">
        <v>183</v>
      </c>
      <c r="C2" t="s">
        <v>175</v>
      </c>
      <c r="D2" t="s">
        <v>184</v>
      </c>
      <c r="E2" t="s">
        <v>184</v>
      </c>
      <c r="F2" t="s">
        <v>176</v>
      </c>
      <c r="G2" t="s">
        <v>11</v>
      </c>
      <c r="H2" t="s">
        <v>12</v>
      </c>
      <c r="I2" t="s">
        <v>13</v>
      </c>
      <c r="J2" t="s">
        <v>176</v>
      </c>
      <c r="K2" s="28" t="str">
        <f>IF(cha_mc[[#This Row],[TestValue]]&lt;&gt;"0X20000000000000",cha_mc[[#This Row],[LotsSeqKey]]&amp;"-"&amp;cha_mc[[#This Row],[UnitTestingSeqKey]],"")</f>
        <v>1-1</v>
      </c>
    </row>
    <row r="3" spans="1:11" x14ac:dyDescent="0.3">
      <c r="A3" t="s">
        <v>182</v>
      </c>
      <c r="B3" t="s">
        <v>183</v>
      </c>
      <c r="C3" t="s">
        <v>175</v>
      </c>
      <c r="D3" t="s">
        <v>184</v>
      </c>
      <c r="E3" t="s">
        <v>184</v>
      </c>
      <c r="F3" t="s">
        <v>177</v>
      </c>
      <c r="G3" t="s">
        <v>14</v>
      </c>
      <c r="H3" t="s">
        <v>12</v>
      </c>
      <c r="I3" t="s">
        <v>13</v>
      </c>
      <c r="J3" t="s">
        <v>177</v>
      </c>
      <c r="K3" s="28" t="str">
        <f>IF(cha_mc[[#This Row],[TestValue]]&lt;&gt;"0X20000000000000",cha_mc[[#This Row],[LotsSeqKey]]&amp;"-"&amp;cha_mc[[#This Row],[UnitTestingSeqKey]],"")</f>
        <v>1-1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5BA7C-67C8-4674-B5B9-FBD43FA6DE81}">
  <sheetPr codeName="Sheet2"/>
  <dimension ref="A1:K3"/>
  <sheetViews>
    <sheetView topLeftCell="D1" workbookViewId="0">
      <selection activeCell="K6" sqref="K6"/>
    </sheetView>
  </sheetViews>
  <sheetFormatPr defaultRowHeight="14.4" x14ac:dyDescent="0.3"/>
  <cols>
    <col min="1" max="1" width="15" bestFit="1" customWidth="1"/>
    <col min="3" max="3" width="14.44140625" customWidth="1"/>
    <col min="4" max="4" width="12.6640625" customWidth="1"/>
    <col min="5" max="5" width="19.33203125" customWidth="1"/>
    <col min="6" max="6" width="11.6640625" customWidth="1"/>
    <col min="7" max="7" width="31.6640625" customWidth="1"/>
    <col min="8" max="8" width="11.6640625" customWidth="1"/>
    <col min="9" max="9" width="18.6640625" customWidth="1"/>
    <col min="10" max="10" width="139.44140625" bestFit="1" customWidth="1"/>
    <col min="11" max="11" width="13.88671875" style="28" bestFit="1" customWidth="1"/>
  </cols>
  <sheetData>
    <row r="1" spans="1:11" x14ac:dyDescent="0.3">
      <c r="A1" t="s">
        <v>0</v>
      </c>
      <c r="B1" t="s">
        <v>1</v>
      </c>
      <c r="C1" t="s">
        <v>2</v>
      </c>
      <c r="D1" t="s">
        <v>3</v>
      </c>
      <c r="E1" t="s">
        <v>4</v>
      </c>
      <c r="F1" t="s">
        <v>5</v>
      </c>
      <c r="G1" t="s">
        <v>6</v>
      </c>
      <c r="H1" t="s">
        <v>7</v>
      </c>
      <c r="I1" t="s">
        <v>8</v>
      </c>
      <c r="J1" t="s">
        <v>9</v>
      </c>
      <c r="K1" s="28" t="s">
        <v>10</v>
      </c>
    </row>
    <row r="2" spans="1:11" x14ac:dyDescent="0.3">
      <c r="A2" t="s">
        <v>182</v>
      </c>
      <c r="B2" t="s">
        <v>183</v>
      </c>
      <c r="C2" t="s">
        <v>175</v>
      </c>
      <c r="D2" t="s">
        <v>184</v>
      </c>
      <c r="E2" t="s">
        <v>184</v>
      </c>
      <c r="F2" t="s">
        <v>178</v>
      </c>
      <c r="G2" t="s">
        <v>15</v>
      </c>
      <c r="H2" t="s">
        <v>12</v>
      </c>
      <c r="I2" t="s">
        <v>13</v>
      </c>
      <c r="J2" t="s">
        <v>178</v>
      </c>
      <c r="K2" s="28" t="str">
        <f>IF(core_mc[[#This Row],[TestValue]]&lt;&gt;"0X20000000000000",core_mc[[#This Row],[LotsSeqKey]]&amp;"-"&amp;core_mc[[#This Row],[UnitTestingSeqKey]],"")</f>
        <v>1-1</v>
      </c>
    </row>
    <row r="3" spans="1:11" x14ac:dyDescent="0.3">
      <c r="A3" t="s">
        <v>182</v>
      </c>
      <c r="B3" t="s">
        <v>183</v>
      </c>
      <c r="C3" t="s">
        <v>175</v>
      </c>
      <c r="D3" t="s">
        <v>184</v>
      </c>
      <c r="E3" t="s">
        <v>184</v>
      </c>
      <c r="F3" t="s">
        <v>179</v>
      </c>
      <c r="G3" t="s">
        <v>185</v>
      </c>
      <c r="H3" t="s">
        <v>12</v>
      </c>
      <c r="I3" t="s">
        <v>13</v>
      </c>
      <c r="J3" t="s">
        <v>179</v>
      </c>
      <c r="K3" s="28" t="str">
        <f>IF(core_mc[[#This Row],[TestValue]]&lt;&gt;"0X20000000000000",core_mc[[#This Row],[LotsSeqKey]]&amp;"-"&amp;core_mc[[#This Row],[UnitTestingSeqKey]],"")</f>
        <v>1-1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3B25F-35F8-4AE7-85FF-348138B6732F}">
  <sheetPr codeName="Sheet6"/>
  <dimension ref="A1:H19"/>
  <sheetViews>
    <sheetView workbookViewId="0">
      <selection activeCell="H2" sqref="H2:H19"/>
    </sheetView>
  </sheetViews>
  <sheetFormatPr defaultRowHeight="14.4" x14ac:dyDescent="0.3"/>
  <cols>
    <col min="1" max="1" width="15.21875" customWidth="1"/>
    <col min="2" max="2" width="13" bestFit="1" customWidth="1"/>
    <col min="3" max="3" width="12.88671875" bestFit="1" customWidth="1"/>
    <col min="4" max="4" width="13.44140625" bestFit="1" customWidth="1"/>
    <col min="5" max="5" width="15.5546875" bestFit="1" customWidth="1"/>
    <col min="6" max="6" width="20.88671875" bestFit="1" customWidth="1"/>
    <col min="7" max="7" width="27.33203125" bestFit="1" customWidth="1"/>
    <col min="8" max="8" width="90.33203125" customWidth="1"/>
  </cols>
  <sheetData>
    <row r="1" spans="1:8" x14ac:dyDescent="0.3">
      <c r="A1" s="22" t="s">
        <v>0</v>
      </c>
      <c r="B1" s="22" t="s">
        <v>186</v>
      </c>
      <c r="C1" s="22" t="s">
        <v>187</v>
      </c>
      <c r="D1" s="22" t="s">
        <v>188</v>
      </c>
      <c r="E1" s="22" t="s">
        <v>189</v>
      </c>
      <c r="F1" s="22" t="s">
        <v>190</v>
      </c>
      <c r="G1" s="22" t="s">
        <v>191</v>
      </c>
      <c r="H1" s="22" t="s">
        <v>194</v>
      </c>
    </row>
    <row r="2" spans="1:8" x14ac:dyDescent="0.3">
      <c r="A2" s="21" t="s">
        <v>192</v>
      </c>
      <c r="B2" s="4" t="s">
        <v>193</v>
      </c>
      <c r="C2" s="23"/>
      <c r="D2" s="23"/>
      <c r="E2" s="23"/>
      <c r="F2" s="23"/>
      <c r="G2" s="23"/>
      <c r="H2" s="25"/>
    </row>
    <row r="3" spans="1:8" x14ac:dyDescent="0.3">
      <c r="A3" s="21"/>
      <c r="B3" s="4"/>
      <c r="C3" s="4"/>
      <c r="D3" s="4"/>
      <c r="E3" s="4"/>
      <c r="F3" s="4"/>
      <c r="G3" s="4"/>
      <c r="H3" s="26"/>
    </row>
    <row r="4" spans="1:8" x14ac:dyDescent="0.3">
      <c r="A4" s="21"/>
      <c r="B4" s="4"/>
      <c r="C4" s="4"/>
      <c r="D4" s="4"/>
      <c r="E4" s="4"/>
      <c r="F4" s="4"/>
      <c r="G4" s="4"/>
      <c r="H4" s="26"/>
    </row>
    <row r="5" spans="1:8" x14ac:dyDescent="0.3">
      <c r="A5" s="21"/>
      <c r="B5" s="4"/>
      <c r="C5" s="4"/>
      <c r="D5" s="4"/>
      <c r="E5" s="4"/>
      <c r="F5" s="4"/>
      <c r="G5" s="4"/>
      <c r="H5" s="26"/>
    </row>
    <row r="6" spans="1:8" x14ac:dyDescent="0.3">
      <c r="A6" s="21"/>
      <c r="B6" s="4"/>
      <c r="C6" s="4"/>
      <c r="D6" s="4"/>
      <c r="E6" s="4"/>
      <c r="F6" s="4"/>
      <c r="G6" s="4"/>
      <c r="H6" s="26"/>
    </row>
    <row r="7" spans="1:8" x14ac:dyDescent="0.3">
      <c r="A7" s="21"/>
      <c r="B7" s="4"/>
      <c r="C7" s="4"/>
      <c r="D7" s="4"/>
      <c r="E7" s="4"/>
      <c r="F7" s="4"/>
      <c r="G7" s="4"/>
      <c r="H7" s="26"/>
    </row>
    <row r="8" spans="1:8" x14ac:dyDescent="0.3">
      <c r="A8" s="21"/>
      <c r="B8" s="4"/>
      <c r="C8" s="4"/>
      <c r="D8" s="4"/>
      <c r="E8" s="4"/>
      <c r="F8" s="4"/>
      <c r="G8" s="4"/>
      <c r="H8" s="26"/>
    </row>
    <row r="9" spans="1:8" x14ac:dyDescent="0.3">
      <c r="A9" s="21"/>
      <c r="B9" s="4"/>
      <c r="C9" s="4"/>
      <c r="D9" s="4"/>
      <c r="E9" s="4"/>
      <c r="F9" s="4"/>
      <c r="G9" s="4"/>
      <c r="H9" s="26"/>
    </row>
    <row r="10" spans="1:8" x14ac:dyDescent="0.3">
      <c r="A10" s="21"/>
      <c r="B10" s="4"/>
      <c r="C10" s="4"/>
      <c r="D10" s="4"/>
      <c r="E10" s="4"/>
      <c r="F10" s="4"/>
      <c r="G10" s="4"/>
      <c r="H10" s="26"/>
    </row>
    <row r="11" spans="1:8" x14ac:dyDescent="0.3">
      <c r="A11" s="21"/>
      <c r="B11" s="4"/>
      <c r="C11" s="4"/>
      <c r="D11" s="4"/>
      <c r="E11" s="4"/>
      <c r="F11" s="4"/>
      <c r="G11" s="4"/>
      <c r="H11" s="26"/>
    </row>
    <row r="12" spans="1:8" x14ac:dyDescent="0.3">
      <c r="A12" s="21"/>
      <c r="B12" s="4"/>
      <c r="C12" s="4"/>
      <c r="D12" s="4"/>
      <c r="E12" s="4"/>
      <c r="F12" s="4"/>
      <c r="G12" s="4"/>
      <c r="H12" s="26"/>
    </row>
    <row r="13" spans="1:8" x14ac:dyDescent="0.3">
      <c r="A13" s="21"/>
      <c r="B13" s="4"/>
      <c r="C13" s="4"/>
      <c r="D13" s="4"/>
      <c r="E13" s="4"/>
      <c r="F13" s="4"/>
      <c r="G13" s="4"/>
      <c r="H13" s="26"/>
    </row>
    <row r="14" spans="1:8" x14ac:dyDescent="0.3">
      <c r="A14" s="21"/>
      <c r="B14" s="4"/>
      <c r="C14" s="4"/>
      <c r="D14" s="4"/>
      <c r="E14" s="4"/>
      <c r="F14" s="4"/>
      <c r="G14" s="4"/>
      <c r="H14" s="26"/>
    </row>
    <row r="15" spans="1:8" x14ac:dyDescent="0.3">
      <c r="A15" s="21"/>
      <c r="B15" s="4"/>
      <c r="C15" s="4"/>
      <c r="D15" s="4"/>
      <c r="E15" s="4"/>
      <c r="F15" s="4"/>
      <c r="G15" s="4"/>
      <c r="H15" s="26"/>
    </row>
    <row r="16" spans="1:8" x14ac:dyDescent="0.3">
      <c r="A16" s="21"/>
      <c r="B16" s="4"/>
      <c r="C16" s="4"/>
      <c r="D16" s="4"/>
      <c r="E16" s="4"/>
      <c r="F16" s="4"/>
      <c r="G16" s="4"/>
      <c r="H16" s="26"/>
    </row>
    <row r="17" spans="1:8" x14ac:dyDescent="0.3">
      <c r="A17" s="21"/>
      <c r="B17" s="4"/>
      <c r="C17" s="4"/>
      <c r="D17" s="4"/>
      <c r="E17" s="4"/>
      <c r="F17" s="4"/>
      <c r="G17" s="4"/>
      <c r="H17" s="26"/>
    </row>
    <row r="18" spans="1:8" x14ac:dyDescent="0.3">
      <c r="A18" s="21"/>
      <c r="B18" s="4"/>
      <c r="C18" s="4"/>
      <c r="D18" s="4"/>
      <c r="E18" s="4"/>
      <c r="F18" s="4"/>
      <c r="G18" s="4"/>
      <c r="H18" s="26"/>
    </row>
    <row r="19" spans="1:8" x14ac:dyDescent="0.3">
      <c r="A19" s="20"/>
      <c r="B19" s="24"/>
      <c r="C19" s="24"/>
      <c r="D19" s="24"/>
      <c r="E19" s="24"/>
      <c r="F19" s="24"/>
      <c r="G19" s="24"/>
      <c r="H19" s="27"/>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3A54E-F4EE-407D-BD23-5EDC2AD6FF59}">
  <sheetPr codeName="Sheet3"/>
  <dimension ref="A1:E29"/>
  <sheetViews>
    <sheetView workbookViewId="0">
      <selection activeCell="A2" sqref="A2"/>
    </sheetView>
  </sheetViews>
  <sheetFormatPr defaultRowHeight="14.4" x14ac:dyDescent="0.3"/>
  <cols>
    <col min="1" max="1" width="16.33203125" customWidth="1"/>
    <col min="2" max="2" width="33.88671875" customWidth="1"/>
  </cols>
  <sheetData>
    <row r="1" spans="1:5" x14ac:dyDescent="0.3">
      <c r="A1" s="4" t="s">
        <v>0</v>
      </c>
      <c r="B1" s="4" t="s">
        <v>181</v>
      </c>
    </row>
    <row r="2" spans="1:5" x14ac:dyDescent="0.3">
      <c r="A2" s="4" t="str" cm="1">
        <f t="array" ref="A2">_xlfn.UNIQUE(cha_mc[VisualId])</f>
        <v>74X97M1000031</v>
      </c>
      <c r="B2" s="19" t="str">
        <f>_xlfn.XLOOKUP(A2,ppv[VisualId],ppv[DpmBucket],"")</f>
        <v/>
      </c>
    </row>
    <row r="3" spans="1:5" x14ac:dyDescent="0.3">
      <c r="A3" s="4"/>
      <c r="B3" s="19">
        <f>_xlfn.XLOOKUP(A3,ppv[VisualId],ppv[DpmBucket],"")</f>
        <v>0</v>
      </c>
    </row>
    <row r="4" spans="1:5" x14ac:dyDescent="0.3">
      <c r="A4" s="4"/>
      <c r="B4" s="19">
        <f>_xlfn.XLOOKUP(A4,ppv[VisualId],ppv[DpmBucket],"")</f>
        <v>0</v>
      </c>
    </row>
    <row r="5" spans="1:5" x14ac:dyDescent="0.3">
      <c r="A5" s="4"/>
      <c r="B5" s="19">
        <f>_xlfn.XLOOKUP(A5,ppv[VisualId],ppv[DpmBucket],"")</f>
        <v>0</v>
      </c>
    </row>
    <row r="6" spans="1:5" x14ac:dyDescent="0.3">
      <c r="A6" s="4"/>
      <c r="B6" s="19">
        <f>_xlfn.XLOOKUP(A6,ppv[VisualId],ppv[DpmBucket],"")</f>
        <v>0</v>
      </c>
      <c r="E6" t="s">
        <v>16</v>
      </c>
    </row>
    <row r="7" spans="1:5" x14ac:dyDescent="0.3">
      <c r="A7" s="4"/>
      <c r="B7" s="19">
        <f>_xlfn.XLOOKUP(A7,ppv[VisualId],ppv[DpmBucket],"")</f>
        <v>0</v>
      </c>
    </row>
    <row r="8" spans="1:5" x14ac:dyDescent="0.3">
      <c r="A8" s="4"/>
      <c r="B8" s="19">
        <f>_xlfn.XLOOKUP(A8,ppv[VisualId],ppv[DpmBucket],"")</f>
        <v>0</v>
      </c>
    </row>
    <row r="9" spans="1:5" x14ac:dyDescent="0.3">
      <c r="A9" s="4"/>
      <c r="B9" s="19">
        <f>_xlfn.XLOOKUP(A9,ppv[VisualId],ppv[DpmBucket],"")</f>
        <v>0</v>
      </c>
    </row>
    <row r="10" spans="1:5" x14ac:dyDescent="0.3">
      <c r="A10" s="4"/>
      <c r="B10" s="19">
        <f>_xlfn.XLOOKUP(A10,ppv[VisualId],ppv[DpmBucket],"")</f>
        <v>0</v>
      </c>
    </row>
    <row r="11" spans="1:5" x14ac:dyDescent="0.3">
      <c r="A11" s="4"/>
      <c r="B11" s="19">
        <f>_xlfn.XLOOKUP(A11,ppv[VisualId],ppv[DpmBucket],"")</f>
        <v>0</v>
      </c>
      <c r="E11" s="17"/>
    </row>
    <row r="12" spans="1:5" x14ac:dyDescent="0.3">
      <c r="A12" s="4"/>
      <c r="B12" s="19">
        <f>_xlfn.XLOOKUP(A12,ppv[VisualId],ppv[DpmBucket],"")</f>
        <v>0</v>
      </c>
    </row>
    <row r="13" spans="1:5" x14ac:dyDescent="0.3">
      <c r="A13" s="4"/>
      <c r="B13" s="19">
        <f>_xlfn.XLOOKUP(A13,ppv[VisualId],ppv[DpmBucket],"")</f>
        <v>0</v>
      </c>
    </row>
    <row r="14" spans="1:5" x14ac:dyDescent="0.3">
      <c r="A14" s="4"/>
      <c r="B14" s="19">
        <f>_xlfn.XLOOKUP(A14,ppv[VisualId],ppv[DpmBucket],"")</f>
        <v>0</v>
      </c>
    </row>
    <row r="15" spans="1:5" x14ac:dyDescent="0.3">
      <c r="A15" s="4"/>
      <c r="B15" s="19">
        <f>_xlfn.XLOOKUP(A15,ppv[VisualId],ppv[DpmBucket],"")</f>
        <v>0</v>
      </c>
    </row>
    <row r="16" spans="1:5" x14ac:dyDescent="0.3">
      <c r="A16" s="4"/>
      <c r="B16" s="19">
        <f>_xlfn.XLOOKUP(A16,ppv[VisualId],ppv[DpmBucket],"")</f>
        <v>0</v>
      </c>
    </row>
    <row r="17" spans="1:2" x14ac:dyDescent="0.3">
      <c r="A17" s="4"/>
      <c r="B17" s="19">
        <f>_xlfn.XLOOKUP(A17,ppv[VisualId],ppv[DpmBucket],"")</f>
        <v>0</v>
      </c>
    </row>
    <row r="18" spans="1:2" x14ac:dyDescent="0.3">
      <c r="A18" s="4"/>
      <c r="B18" s="19">
        <f>_xlfn.XLOOKUP(A18,ppv[VisualId],ppv[DpmBucket],"")</f>
        <v>0</v>
      </c>
    </row>
    <row r="19" spans="1:2" x14ac:dyDescent="0.3">
      <c r="A19" s="4"/>
      <c r="B19" s="19">
        <f>_xlfn.XLOOKUP(A19,ppv[VisualId],ppv[DpmBucket],"")</f>
        <v>0</v>
      </c>
    </row>
    <row r="20" spans="1:2" x14ac:dyDescent="0.3">
      <c r="A20" s="4"/>
      <c r="B20" s="19">
        <f>_xlfn.XLOOKUP(A20,ppv[VisualId],ppv[DpmBucket],"")</f>
        <v>0</v>
      </c>
    </row>
    <row r="21" spans="1:2" x14ac:dyDescent="0.3">
      <c r="A21" s="4"/>
      <c r="B21" s="19">
        <f>_xlfn.XLOOKUP(A21,ppv[VisualId],ppv[DpmBucket],"")</f>
        <v>0</v>
      </c>
    </row>
    <row r="22" spans="1:2" x14ac:dyDescent="0.3">
      <c r="A22" s="4"/>
      <c r="B22" s="19">
        <f>_xlfn.XLOOKUP(A22,ppv[VisualId],ppv[DpmBucket],"")</f>
        <v>0</v>
      </c>
    </row>
    <row r="23" spans="1:2" x14ac:dyDescent="0.3">
      <c r="A23" s="4"/>
      <c r="B23" s="19">
        <f>_xlfn.XLOOKUP(A23,ppv[VisualId],ppv[DpmBucket],"")</f>
        <v>0</v>
      </c>
    </row>
    <row r="24" spans="1:2" x14ac:dyDescent="0.3">
      <c r="A24" s="4"/>
      <c r="B24" s="19">
        <f>_xlfn.XLOOKUP(A24,ppv[VisualId],ppv[DpmBucket],"")</f>
        <v>0</v>
      </c>
    </row>
    <row r="25" spans="1:2" x14ac:dyDescent="0.3">
      <c r="A25" s="4"/>
      <c r="B25" s="19">
        <f>_xlfn.XLOOKUP(A25,ppv[VisualId],ppv[DpmBucket],"")</f>
        <v>0</v>
      </c>
    </row>
    <row r="26" spans="1:2" x14ac:dyDescent="0.3">
      <c r="A26" s="4"/>
      <c r="B26" s="19">
        <f>_xlfn.XLOOKUP(A26,ppv[VisualId],ppv[DpmBucket],"")</f>
        <v>0</v>
      </c>
    </row>
    <row r="27" spans="1:2" x14ac:dyDescent="0.3">
      <c r="A27" s="4"/>
      <c r="B27" s="19">
        <f>_xlfn.XLOOKUP(A27,ppv[VisualId],ppv[DpmBucket],"")</f>
        <v>0</v>
      </c>
    </row>
    <row r="28" spans="1:2" x14ac:dyDescent="0.3">
      <c r="A28" s="4"/>
      <c r="B28" s="19">
        <f>_xlfn.XLOOKUP(A28,ppv[VisualId],ppv[DpmBucket],"")</f>
        <v>0</v>
      </c>
    </row>
    <row r="29" spans="1:2" x14ac:dyDescent="0.3">
      <c r="A29" s="4"/>
      <c r="B29" s="19">
        <f>_xlfn.XLOOKUP(A29,ppv[VisualId],ppv[DpmBucket],"")</f>
        <v>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uplicateAndRenameSheets">
                <anchor moveWithCells="1" sizeWithCells="1">
                  <from>
                    <xdr:col>4</xdr:col>
                    <xdr:colOff>60960</xdr:colOff>
                    <xdr:row>1</xdr:row>
                    <xdr:rowOff>76200</xdr:rowOff>
                  </from>
                  <to>
                    <xdr:col>7</xdr:col>
                    <xdr:colOff>563880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DC1DD-7B31-4A84-9196-315D04FB1EF5}">
  <sheetPr codeName="Sheet5"/>
  <dimension ref="C2:AE126"/>
  <sheetViews>
    <sheetView topLeftCell="H37" workbookViewId="0">
      <selection activeCell="S61" sqref="S61"/>
    </sheetView>
  </sheetViews>
  <sheetFormatPr defaultRowHeight="14.4" x14ac:dyDescent="0.3"/>
  <cols>
    <col min="17" max="17" width="17" customWidth="1"/>
    <col min="18" max="18" width="17.6640625" customWidth="1"/>
    <col min="19" max="19" width="34.44140625" bestFit="1" customWidth="1"/>
    <col min="21" max="21" width="22.21875" customWidth="1"/>
    <col min="22" max="22" width="27.77734375" bestFit="1" customWidth="1"/>
    <col min="24" max="24" width="21.109375" customWidth="1"/>
    <col min="25" max="25" width="12.77734375" customWidth="1"/>
    <col min="27" max="27" width="27" customWidth="1"/>
    <col min="28" max="28" width="12.77734375" customWidth="1"/>
    <col min="30" max="30" width="23.109375" customWidth="1"/>
    <col min="31" max="31" width="16.77734375" bestFit="1" customWidth="1"/>
  </cols>
  <sheetData>
    <row r="2" spans="3:31" x14ac:dyDescent="0.3">
      <c r="R2" t="s">
        <v>17</v>
      </c>
      <c r="S2" t="s">
        <v>18</v>
      </c>
      <c r="U2" s="33" t="s">
        <v>215</v>
      </c>
      <c r="V2" s="33" t="s">
        <v>18</v>
      </c>
      <c r="X2" s="33" t="s">
        <v>216</v>
      </c>
      <c r="Y2" s="33" t="s">
        <v>18</v>
      </c>
      <c r="AA2" s="33" t="s">
        <v>217</v>
      </c>
      <c r="AB2" s="33" t="s">
        <v>18</v>
      </c>
      <c r="AD2" s="33" t="s">
        <v>218</v>
      </c>
      <c r="AE2" s="33" t="s">
        <v>18</v>
      </c>
    </row>
    <row r="3" spans="3:31" x14ac:dyDescent="0.3">
      <c r="C3" t="s">
        <v>19</v>
      </c>
      <c r="R3">
        <v>1</v>
      </c>
      <c r="S3" t="s">
        <v>20</v>
      </c>
      <c r="U3" s="34" t="s">
        <v>219</v>
      </c>
      <c r="V3" s="34" t="s">
        <v>220</v>
      </c>
      <c r="X3" t="s">
        <v>13</v>
      </c>
      <c r="Y3" t="s">
        <v>221</v>
      </c>
      <c r="AA3" t="s">
        <v>13</v>
      </c>
      <c r="AB3" t="s">
        <v>222</v>
      </c>
      <c r="AD3" t="s">
        <v>223</v>
      </c>
      <c r="AE3" t="s">
        <v>224</v>
      </c>
    </row>
    <row r="4" spans="3:31" x14ac:dyDescent="0.3">
      <c r="C4" t="s">
        <v>21</v>
      </c>
      <c r="R4">
        <v>2</v>
      </c>
      <c r="S4" t="s">
        <v>22</v>
      </c>
      <c r="U4" s="34" t="s">
        <v>184</v>
      </c>
      <c r="V4" s="34" t="s">
        <v>225</v>
      </c>
      <c r="X4" t="s">
        <v>184</v>
      </c>
      <c r="Y4" t="s">
        <v>212</v>
      </c>
      <c r="AA4" t="s">
        <v>184</v>
      </c>
      <c r="AB4" t="s">
        <v>226</v>
      </c>
      <c r="AD4" t="s">
        <v>227</v>
      </c>
      <c r="AE4" t="s">
        <v>228</v>
      </c>
    </row>
    <row r="5" spans="3:31" x14ac:dyDescent="0.3">
      <c r="C5" t="s">
        <v>23</v>
      </c>
      <c r="R5">
        <v>3</v>
      </c>
      <c r="S5" t="s">
        <v>24</v>
      </c>
      <c r="U5" s="34" t="s">
        <v>229</v>
      </c>
      <c r="V5" s="34" t="s">
        <v>230</v>
      </c>
      <c r="X5" t="s">
        <v>219</v>
      </c>
      <c r="Y5" t="s">
        <v>231</v>
      </c>
      <c r="AA5" t="s">
        <v>219</v>
      </c>
      <c r="AB5" t="s">
        <v>232</v>
      </c>
      <c r="AD5" t="s">
        <v>233</v>
      </c>
      <c r="AE5" t="s">
        <v>234</v>
      </c>
    </row>
    <row r="6" spans="3:31" x14ac:dyDescent="0.3">
      <c r="C6" t="s">
        <v>25</v>
      </c>
      <c r="R6">
        <v>4</v>
      </c>
      <c r="S6" t="s">
        <v>26</v>
      </c>
      <c r="U6" s="34" t="s">
        <v>235</v>
      </c>
      <c r="V6" s="34" t="s">
        <v>236</v>
      </c>
      <c r="X6" t="s">
        <v>229</v>
      </c>
      <c r="Y6" t="s">
        <v>237</v>
      </c>
      <c r="AA6" t="s">
        <v>229</v>
      </c>
      <c r="AB6" t="s">
        <v>238</v>
      </c>
      <c r="AD6" t="s">
        <v>239</v>
      </c>
      <c r="AE6" t="s">
        <v>240</v>
      </c>
    </row>
    <row r="7" spans="3:31" x14ac:dyDescent="0.3">
      <c r="C7" t="s">
        <v>27</v>
      </c>
      <c r="R7">
        <v>5</v>
      </c>
      <c r="S7" t="s">
        <v>28</v>
      </c>
      <c r="U7" s="34" t="s">
        <v>241</v>
      </c>
      <c r="V7" s="34" t="s">
        <v>242</v>
      </c>
      <c r="AA7" t="s">
        <v>243</v>
      </c>
      <c r="AB7" t="s">
        <v>244</v>
      </c>
      <c r="AD7" t="s">
        <v>245</v>
      </c>
      <c r="AE7" t="s">
        <v>246</v>
      </c>
    </row>
    <row r="8" spans="3:31" x14ac:dyDescent="0.3">
      <c r="C8" t="s">
        <v>29</v>
      </c>
      <c r="R8">
        <v>6</v>
      </c>
      <c r="S8" t="s">
        <v>30</v>
      </c>
      <c r="U8" s="34" t="s">
        <v>247</v>
      </c>
      <c r="V8" s="34" t="s">
        <v>248</v>
      </c>
      <c r="AA8" t="s">
        <v>249</v>
      </c>
      <c r="AB8" t="s">
        <v>250</v>
      </c>
      <c r="AD8" t="s">
        <v>251</v>
      </c>
      <c r="AE8" t="s">
        <v>252</v>
      </c>
    </row>
    <row r="9" spans="3:31" x14ac:dyDescent="0.3">
      <c r="C9" t="s">
        <v>31</v>
      </c>
      <c r="R9">
        <v>7</v>
      </c>
      <c r="S9" t="s">
        <v>32</v>
      </c>
      <c r="U9" s="34" t="s">
        <v>253</v>
      </c>
      <c r="V9" s="34" t="s">
        <v>203</v>
      </c>
      <c r="AA9" t="s">
        <v>254</v>
      </c>
      <c r="AB9" t="s">
        <v>255</v>
      </c>
      <c r="AD9" t="s">
        <v>256</v>
      </c>
      <c r="AE9" t="s">
        <v>257</v>
      </c>
    </row>
    <row r="10" spans="3:31" x14ac:dyDescent="0.3">
      <c r="C10" t="s">
        <v>33</v>
      </c>
      <c r="R10">
        <v>8</v>
      </c>
      <c r="S10" t="s">
        <v>34</v>
      </c>
      <c r="U10" s="34" t="s">
        <v>258</v>
      </c>
      <c r="V10" s="34" t="s">
        <v>259</v>
      </c>
      <c r="AA10" t="s">
        <v>260</v>
      </c>
      <c r="AB10" t="s">
        <v>261</v>
      </c>
      <c r="AD10" t="s">
        <v>262</v>
      </c>
      <c r="AE10" t="s">
        <v>263</v>
      </c>
    </row>
    <row r="11" spans="3:31" x14ac:dyDescent="0.3">
      <c r="C11" t="s">
        <v>35</v>
      </c>
      <c r="R11">
        <v>9</v>
      </c>
      <c r="S11" t="s">
        <v>36</v>
      </c>
      <c r="AA11" t="s">
        <v>253</v>
      </c>
      <c r="AB11" t="s">
        <v>264</v>
      </c>
      <c r="AD11" t="s">
        <v>265</v>
      </c>
      <c r="AE11" t="s">
        <v>266</v>
      </c>
    </row>
    <row r="12" spans="3:31" x14ac:dyDescent="0.3">
      <c r="C12" t="s">
        <v>37</v>
      </c>
      <c r="R12">
        <v>10</v>
      </c>
      <c r="S12" t="s">
        <v>38</v>
      </c>
      <c r="AA12" t="s">
        <v>247</v>
      </c>
      <c r="AB12" t="s">
        <v>267</v>
      </c>
      <c r="AD12" t="s">
        <v>268</v>
      </c>
      <c r="AE12" t="s">
        <v>269</v>
      </c>
    </row>
    <row r="13" spans="3:31" x14ac:dyDescent="0.3">
      <c r="C13" t="s">
        <v>39</v>
      </c>
      <c r="R13">
        <v>11</v>
      </c>
      <c r="S13" t="s">
        <v>40</v>
      </c>
      <c r="AA13" t="s">
        <v>241</v>
      </c>
      <c r="AB13" t="s">
        <v>270</v>
      </c>
      <c r="AD13" t="s">
        <v>271</v>
      </c>
      <c r="AE13" t="s">
        <v>272</v>
      </c>
    </row>
    <row r="14" spans="3:31" x14ac:dyDescent="0.3">
      <c r="C14" t="s">
        <v>41</v>
      </c>
      <c r="R14">
        <v>12</v>
      </c>
      <c r="S14" t="s">
        <v>42</v>
      </c>
      <c r="U14" s="33" t="s">
        <v>273</v>
      </c>
      <c r="V14" s="33" t="s">
        <v>18</v>
      </c>
      <c r="X14" s="33" t="s">
        <v>274</v>
      </c>
      <c r="Y14" s="33" t="s">
        <v>18</v>
      </c>
      <c r="AA14" t="s">
        <v>235</v>
      </c>
      <c r="AB14" t="s">
        <v>275</v>
      </c>
      <c r="AD14" t="s">
        <v>276</v>
      </c>
      <c r="AE14" t="s">
        <v>277</v>
      </c>
    </row>
    <row r="15" spans="3:31" x14ac:dyDescent="0.3">
      <c r="C15" t="s">
        <v>43</v>
      </c>
      <c r="R15">
        <v>13</v>
      </c>
      <c r="S15" t="s">
        <v>44</v>
      </c>
      <c r="U15" t="s">
        <v>13</v>
      </c>
      <c r="V15" t="s">
        <v>278</v>
      </c>
      <c r="X15" t="s">
        <v>13</v>
      </c>
      <c r="Y15" t="s">
        <v>279</v>
      </c>
      <c r="AA15" t="s">
        <v>258</v>
      </c>
      <c r="AB15" t="s">
        <v>280</v>
      </c>
      <c r="AD15" t="s">
        <v>281</v>
      </c>
      <c r="AE15" t="s">
        <v>282</v>
      </c>
    </row>
    <row r="16" spans="3:31" x14ac:dyDescent="0.3">
      <c r="C16" t="s">
        <v>45</v>
      </c>
      <c r="R16">
        <v>14</v>
      </c>
      <c r="S16" t="s">
        <v>46</v>
      </c>
      <c r="U16" t="s">
        <v>184</v>
      </c>
      <c r="V16" t="s">
        <v>283</v>
      </c>
      <c r="X16" t="s">
        <v>184</v>
      </c>
      <c r="Y16" t="s">
        <v>284</v>
      </c>
      <c r="AA16" t="s">
        <v>285</v>
      </c>
      <c r="AB16" t="s">
        <v>286</v>
      </c>
      <c r="AD16" t="s">
        <v>287</v>
      </c>
      <c r="AE16" t="s">
        <v>288</v>
      </c>
    </row>
    <row r="17" spans="3:31" x14ac:dyDescent="0.3">
      <c r="C17" t="s">
        <v>47</v>
      </c>
      <c r="R17">
        <v>15</v>
      </c>
      <c r="S17" t="s">
        <v>48</v>
      </c>
      <c r="U17" t="s">
        <v>219</v>
      </c>
      <c r="V17" t="s">
        <v>211</v>
      </c>
      <c r="X17" t="s">
        <v>219</v>
      </c>
      <c r="Y17" t="s">
        <v>289</v>
      </c>
      <c r="AA17" t="s">
        <v>290</v>
      </c>
      <c r="AB17" t="s">
        <v>291</v>
      </c>
      <c r="AD17" t="s">
        <v>292</v>
      </c>
      <c r="AE17" t="s">
        <v>293</v>
      </c>
    </row>
    <row r="18" spans="3:31" x14ac:dyDescent="0.3">
      <c r="C18" t="s">
        <v>49</v>
      </c>
      <c r="R18">
        <v>22</v>
      </c>
      <c r="S18" t="s">
        <v>50</v>
      </c>
      <c r="U18" t="s">
        <v>229</v>
      </c>
      <c r="V18" t="s">
        <v>294</v>
      </c>
      <c r="X18" t="s">
        <v>229</v>
      </c>
      <c r="Y18" t="s">
        <v>295</v>
      </c>
      <c r="AA18" t="s">
        <v>296</v>
      </c>
      <c r="AB18" t="s">
        <v>297</v>
      </c>
      <c r="AD18" t="s">
        <v>298</v>
      </c>
      <c r="AE18" t="s">
        <v>299</v>
      </c>
    </row>
    <row r="19" spans="3:31" x14ac:dyDescent="0.3">
      <c r="C19" t="s">
        <v>51</v>
      </c>
      <c r="R19">
        <v>23</v>
      </c>
      <c r="S19" t="s">
        <v>52</v>
      </c>
      <c r="U19" t="s">
        <v>243</v>
      </c>
      <c r="V19" t="s">
        <v>300</v>
      </c>
      <c r="X19" t="s">
        <v>243</v>
      </c>
      <c r="Y19" t="s">
        <v>301</v>
      </c>
      <c r="AA19" t="s">
        <v>302</v>
      </c>
      <c r="AB19" t="s">
        <v>303</v>
      </c>
      <c r="AD19" t="s">
        <v>304</v>
      </c>
      <c r="AE19" t="s">
        <v>305</v>
      </c>
    </row>
    <row r="20" spans="3:31" x14ac:dyDescent="0.3">
      <c r="C20" t="s">
        <v>53</v>
      </c>
      <c r="R20">
        <v>24</v>
      </c>
      <c r="S20" t="s">
        <v>54</v>
      </c>
      <c r="U20" t="s">
        <v>249</v>
      </c>
      <c r="V20" t="s">
        <v>306</v>
      </c>
      <c r="X20" t="s">
        <v>249</v>
      </c>
      <c r="Y20" t="s">
        <v>307</v>
      </c>
      <c r="AA20" t="s">
        <v>308</v>
      </c>
      <c r="AB20" t="s">
        <v>309</v>
      </c>
      <c r="AD20" t="s">
        <v>310</v>
      </c>
      <c r="AE20" t="s">
        <v>311</v>
      </c>
    </row>
    <row r="21" spans="3:31" x14ac:dyDescent="0.3">
      <c r="C21" t="s">
        <v>55</v>
      </c>
      <c r="R21">
        <v>25</v>
      </c>
      <c r="S21" t="s">
        <v>56</v>
      </c>
      <c r="U21" t="s">
        <v>254</v>
      </c>
      <c r="V21" t="s">
        <v>312</v>
      </c>
      <c r="X21" t="s">
        <v>254</v>
      </c>
      <c r="Y21" t="s">
        <v>213</v>
      </c>
      <c r="AA21" t="s">
        <v>313</v>
      </c>
      <c r="AB21" t="s">
        <v>314</v>
      </c>
      <c r="AD21" t="s">
        <v>315</v>
      </c>
      <c r="AE21" t="s">
        <v>316</v>
      </c>
    </row>
    <row r="22" spans="3:31" x14ac:dyDescent="0.3">
      <c r="R22">
        <v>28</v>
      </c>
      <c r="S22" t="s">
        <v>57</v>
      </c>
      <c r="U22" t="s">
        <v>260</v>
      </c>
      <c r="V22" t="s">
        <v>317</v>
      </c>
      <c r="X22" t="s">
        <v>260</v>
      </c>
      <c r="Y22" t="s">
        <v>318</v>
      </c>
      <c r="AA22" t="s">
        <v>319</v>
      </c>
      <c r="AB22" t="s">
        <v>320</v>
      </c>
      <c r="AD22" t="s">
        <v>321</v>
      </c>
      <c r="AE22" t="s">
        <v>322</v>
      </c>
    </row>
    <row r="23" spans="3:31" x14ac:dyDescent="0.3">
      <c r="R23">
        <v>29</v>
      </c>
      <c r="S23" t="s">
        <v>58</v>
      </c>
      <c r="U23" t="s">
        <v>253</v>
      </c>
      <c r="V23" t="s">
        <v>323</v>
      </c>
      <c r="AA23" t="s">
        <v>324</v>
      </c>
      <c r="AB23" t="s">
        <v>325</v>
      </c>
      <c r="AD23" t="s">
        <v>326</v>
      </c>
      <c r="AE23" t="s">
        <v>327</v>
      </c>
    </row>
    <row r="24" spans="3:31" x14ac:dyDescent="0.3">
      <c r="R24">
        <v>30</v>
      </c>
      <c r="S24" t="s">
        <v>59</v>
      </c>
      <c r="U24" t="s">
        <v>247</v>
      </c>
      <c r="V24" t="s">
        <v>328</v>
      </c>
      <c r="AA24" t="s">
        <v>329</v>
      </c>
      <c r="AB24" t="s">
        <v>330</v>
      </c>
      <c r="AD24" t="s">
        <v>331</v>
      </c>
      <c r="AE24" t="s">
        <v>332</v>
      </c>
    </row>
    <row r="25" spans="3:31" x14ac:dyDescent="0.3">
      <c r="R25">
        <v>31</v>
      </c>
      <c r="S25" t="s">
        <v>60</v>
      </c>
      <c r="U25" t="s">
        <v>241</v>
      </c>
      <c r="V25" t="s">
        <v>333</v>
      </c>
      <c r="AA25" t="s">
        <v>334</v>
      </c>
      <c r="AB25" t="s">
        <v>335</v>
      </c>
      <c r="AD25" t="s">
        <v>336</v>
      </c>
      <c r="AE25" t="s">
        <v>337</v>
      </c>
    </row>
    <row r="26" spans="3:31" x14ac:dyDescent="0.3">
      <c r="R26">
        <v>39</v>
      </c>
      <c r="S26" t="s">
        <v>61</v>
      </c>
      <c r="U26" t="s">
        <v>235</v>
      </c>
      <c r="V26" t="s">
        <v>338</v>
      </c>
      <c r="AA26" t="s">
        <v>339</v>
      </c>
      <c r="AB26" t="s">
        <v>340</v>
      </c>
      <c r="AD26" t="s">
        <v>341</v>
      </c>
      <c r="AE26" t="s">
        <v>342</v>
      </c>
    </row>
    <row r="27" spans="3:31" x14ac:dyDescent="0.3">
      <c r="C27" t="s">
        <v>62</v>
      </c>
      <c r="D27" t="s">
        <v>63</v>
      </c>
      <c r="E27" t="s">
        <v>64</v>
      </c>
      <c r="R27">
        <v>40</v>
      </c>
      <c r="S27" t="s">
        <v>65</v>
      </c>
      <c r="U27" t="s">
        <v>258</v>
      </c>
      <c r="V27" t="s">
        <v>343</v>
      </c>
      <c r="AA27" t="s">
        <v>344</v>
      </c>
      <c r="AB27" t="s">
        <v>345</v>
      </c>
      <c r="AD27" t="s">
        <v>346</v>
      </c>
      <c r="AE27" t="s">
        <v>347</v>
      </c>
    </row>
    <row r="28" spans="3:31" x14ac:dyDescent="0.3">
      <c r="C28" t="s">
        <v>62</v>
      </c>
      <c r="D28" t="s">
        <v>66</v>
      </c>
      <c r="E28" t="s">
        <v>67</v>
      </c>
      <c r="R28">
        <v>41</v>
      </c>
      <c r="S28" t="s">
        <v>68</v>
      </c>
      <c r="U28" t="s">
        <v>285</v>
      </c>
      <c r="V28" t="s">
        <v>348</v>
      </c>
      <c r="AA28" t="s">
        <v>349</v>
      </c>
      <c r="AB28" t="s">
        <v>350</v>
      </c>
      <c r="AD28" t="s">
        <v>351</v>
      </c>
      <c r="AE28" t="s">
        <v>352</v>
      </c>
    </row>
    <row r="29" spans="3:31" x14ac:dyDescent="0.3">
      <c r="C29" t="s">
        <v>62</v>
      </c>
      <c r="D29" t="s">
        <v>69</v>
      </c>
      <c r="E29" t="s">
        <v>70</v>
      </c>
      <c r="F29" t="s">
        <v>71</v>
      </c>
      <c r="R29">
        <v>42</v>
      </c>
      <c r="S29" t="s">
        <v>72</v>
      </c>
      <c r="U29" t="s">
        <v>290</v>
      </c>
      <c r="V29" t="s">
        <v>353</v>
      </c>
      <c r="AA29" t="s">
        <v>354</v>
      </c>
      <c r="AB29" t="s">
        <v>355</v>
      </c>
      <c r="AD29" t="s">
        <v>356</v>
      </c>
      <c r="AE29" t="s">
        <v>357</v>
      </c>
    </row>
    <row r="30" spans="3:31" x14ac:dyDescent="0.3">
      <c r="C30" t="s">
        <v>62</v>
      </c>
      <c r="D30" t="s">
        <v>73</v>
      </c>
      <c r="E30" t="s">
        <v>74</v>
      </c>
      <c r="F30" t="s">
        <v>75</v>
      </c>
      <c r="R30">
        <v>43</v>
      </c>
      <c r="S30" t="s">
        <v>76</v>
      </c>
      <c r="U30" t="s">
        <v>296</v>
      </c>
      <c r="V30" t="s">
        <v>358</v>
      </c>
      <c r="AA30" t="s">
        <v>359</v>
      </c>
      <c r="AB30" t="s">
        <v>360</v>
      </c>
      <c r="AD30" t="s">
        <v>361</v>
      </c>
      <c r="AE30" t="s">
        <v>362</v>
      </c>
    </row>
    <row r="31" spans="3:31" x14ac:dyDescent="0.3">
      <c r="C31" t="s">
        <v>62</v>
      </c>
      <c r="D31" t="s">
        <v>77</v>
      </c>
      <c r="E31" t="s">
        <v>78</v>
      </c>
      <c r="F31" t="s">
        <v>79</v>
      </c>
      <c r="R31">
        <v>44</v>
      </c>
      <c r="S31" t="s">
        <v>80</v>
      </c>
      <c r="U31" t="s">
        <v>302</v>
      </c>
      <c r="V31" t="s">
        <v>363</v>
      </c>
      <c r="AA31" t="s">
        <v>364</v>
      </c>
      <c r="AB31" t="s">
        <v>365</v>
      </c>
      <c r="AD31" t="s">
        <v>366</v>
      </c>
      <c r="AE31" t="s">
        <v>367</v>
      </c>
    </row>
    <row r="32" spans="3:31" x14ac:dyDescent="0.3">
      <c r="C32" t="s">
        <v>62</v>
      </c>
      <c r="D32" t="s">
        <v>81</v>
      </c>
      <c r="E32" t="s">
        <v>82</v>
      </c>
      <c r="F32" t="s">
        <v>83</v>
      </c>
      <c r="R32">
        <v>45</v>
      </c>
      <c r="S32" t="s">
        <v>84</v>
      </c>
      <c r="AA32" t="s">
        <v>368</v>
      </c>
      <c r="AB32" t="s">
        <v>369</v>
      </c>
      <c r="AD32" t="s">
        <v>370</v>
      </c>
      <c r="AE32" t="s">
        <v>371</v>
      </c>
    </row>
    <row r="33" spans="3:31" x14ac:dyDescent="0.3">
      <c r="C33" t="s">
        <v>62</v>
      </c>
      <c r="D33" t="s">
        <v>85</v>
      </c>
      <c r="E33" t="s">
        <v>86</v>
      </c>
      <c r="R33">
        <v>46</v>
      </c>
      <c r="S33" t="s">
        <v>87</v>
      </c>
      <c r="AA33" t="s">
        <v>372</v>
      </c>
      <c r="AB33" t="s">
        <v>373</v>
      </c>
      <c r="AD33" t="s">
        <v>374</v>
      </c>
      <c r="AE33" t="s">
        <v>375</v>
      </c>
    </row>
    <row r="34" spans="3:31" x14ac:dyDescent="0.3">
      <c r="C34" t="s">
        <v>62</v>
      </c>
      <c r="D34" t="s">
        <v>88</v>
      </c>
      <c r="E34" t="s">
        <v>89</v>
      </c>
      <c r="R34">
        <v>49</v>
      </c>
      <c r="S34" t="s">
        <v>90</v>
      </c>
      <c r="AA34" t="s">
        <v>376</v>
      </c>
      <c r="AB34" t="s">
        <v>377</v>
      </c>
      <c r="AD34" t="s">
        <v>378</v>
      </c>
      <c r="AE34" t="s">
        <v>379</v>
      </c>
    </row>
    <row r="35" spans="3:31" x14ac:dyDescent="0.3">
      <c r="C35" t="s">
        <v>62</v>
      </c>
      <c r="D35" t="s">
        <v>91</v>
      </c>
      <c r="E35" t="s">
        <v>92</v>
      </c>
      <c r="F35" t="s">
        <v>93</v>
      </c>
      <c r="R35">
        <v>50</v>
      </c>
      <c r="S35" t="s">
        <v>94</v>
      </c>
      <c r="AA35" t="s">
        <v>380</v>
      </c>
      <c r="AB35" t="s">
        <v>381</v>
      </c>
      <c r="AD35" t="s">
        <v>382</v>
      </c>
      <c r="AE35" t="s">
        <v>383</v>
      </c>
    </row>
    <row r="36" spans="3:31" x14ac:dyDescent="0.3">
      <c r="C36" t="s">
        <v>95</v>
      </c>
      <c r="D36" t="s">
        <v>96</v>
      </c>
      <c r="E36" t="s">
        <v>97</v>
      </c>
      <c r="F36" t="s">
        <v>98</v>
      </c>
      <c r="R36">
        <v>51</v>
      </c>
      <c r="S36" t="s">
        <v>99</v>
      </c>
      <c r="AA36" t="s">
        <v>384</v>
      </c>
      <c r="AB36" t="s">
        <v>385</v>
      </c>
      <c r="AD36" t="s">
        <v>386</v>
      </c>
      <c r="AE36" t="s">
        <v>387</v>
      </c>
    </row>
    <row r="37" spans="3:31" x14ac:dyDescent="0.3">
      <c r="C37" t="s">
        <v>62</v>
      </c>
      <c r="D37" t="s">
        <v>100</v>
      </c>
      <c r="E37" t="s">
        <v>101</v>
      </c>
      <c r="R37">
        <v>52</v>
      </c>
      <c r="S37" t="s">
        <v>102</v>
      </c>
      <c r="AA37" t="s">
        <v>388</v>
      </c>
      <c r="AB37" t="s">
        <v>389</v>
      </c>
      <c r="AD37" t="s">
        <v>390</v>
      </c>
      <c r="AE37" t="s">
        <v>391</v>
      </c>
    </row>
    <row r="38" spans="3:31" x14ac:dyDescent="0.3">
      <c r="C38" t="s">
        <v>62</v>
      </c>
      <c r="D38" t="s">
        <v>103</v>
      </c>
      <c r="E38" t="s">
        <v>104</v>
      </c>
      <c r="R38">
        <v>53</v>
      </c>
      <c r="S38" t="s">
        <v>105</v>
      </c>
      <c r="AA38" t="s">
        <v>392</v>
      </c>
      <c r="AB38" t="s">
        <v>393</v>
      </c>
      <c r="AD38" t="s">
        <v>394</v>
      </c>
      <c r="AE38" t="s">
        <v>395</v>
      </c>
    </row>
    <row r="39" spans="3:31" x14ac:dyDescent="0.3">
      <c r="C39" t="s">
        <v>62</v>
      </c>
      <c r="D39" t="s">
        <v>106</v>
      </c>
      <c r="E39" t="s">
        <v>107</v>
      </c>
      <c r="F39" t="s">
        <v>108</v>
      </c>
      <c r="R39">
        <v>54</v>
      </c>
      <c r="S39" t="s">
        <v>109</v>
      </c>
      <c r="AA39" t="s">
        <v>396</v>
      </c>
      <c r="AB39" t="s">
        <v>397</v>
      </c>
      <c r="AD39" t="s">
        <v>398</v>
      </c>
      <c r="AE39" t="s">
        <v>399</v>
      </c>
    </row>
    <row r="40" spans="3:31" x14ac:dyDescent="0.3">
      <c r="C40" t="s">
        <v>62</v>
      </c>
      <c r="D40" t="s">
        <v>110</v>
      </c>
      <c r="E40" t="s">
        <v>111</v>
      </c>
      <c r="R40">
        <v>55</v>
      </c>
      <c r="S40" t="s">
        <v>112</v>
      </c>
      <c r="AA40" t="s">
        <v>400</v>
      </c>
      <c r="AB40" t="s">
        <v>401</v>
      </c>
      <c r="AD40" t="s">
        <v>402</v>
      </c>
      <c r="AE40" t="s">
        <v>403</v>
      </c>
    </row>
    <row r="41" spans="3:31" x14ac:dyDescent="0.3">
      <c r="R41">
        <v>56</v>
      </c>
      <c r="S41" t="s">
        <v>113</v>
      </c>
      <c r="AA41" t="s">
        <v>404</v>
      </c>
      <c r="AB41" t="s">
        <v>405</v>
      </c>
      <c r="AD41" t="s">
        <v>406</v>
      </c>
      <c r="AE41" t="s">
        <v>407</v>
      </c>
    </row>
    <row r="42" spans="3:31" x14ac:dyDescent="0.3">
      <c r="R42">
        <v>61</v>
      </c>
      <c r="S42" t="s">
        <v>114</v>
      </c>
      <c r="AA42" t="s">
        <v>408</v>
      </c>
      <c r="AB42" t="s">
        <v>409</v>
      </c>
      <c r="AD42" t="s">
        <v>410</v>
      </c>
      <c r="AE42" t="s">
        <v>411</v>
      </c>
    </row>
    <row r="43" spans="3:31" x14ac:dyDescent="0.3">
      <c r="C43" t="s">
        <v>602</v>
      </c>
      <c r="R43">
        <v>62</v>
      </c>
      <c r="S43" t="s">
        <v>115</v>
      </c>
      <c r="AA43" t="s">
        <v>412</v>
      </c>
      <c r="AB43" t="s">
        <v>413</v>
      </c>
      <c r="AD43" t="s">
        <v>414</v>
      </c>
      <c r="AE43" t="s">
        <v>415</v>
      </c>
    </row>
    <row r="44" spans="3:31" x14ac:dyDescent="0.3">
      <c r="C44" t="s">
        <v>603</v>
      </c>
      <c r="R44">
        <v>63</v>
      </c>
      <c r="S44" t="s">
        <v>116</v>
      </c>
      <c r="AA44" t="s">
        <v>416</v>
      </c>
      <c r="AB44" t="s">
        <v>417</v>
      </c>
      <c r="AD44" t="s">
        <v>418</v>
      </c>
      <c r="AE44" t="s">
        <v>419</v>
      </c>
    </row>
    <row r="45" spans="3:31" x14ac:dyDescent="0.3">
      <c r="C45" t="s">
        <v>604</v>
      </c>
      <c r="R45">
        <v>64</v>
      </c>
      <c r="S45" t="s">
        <v>117</v>
      </c>
      <c r="AA45" t="s">
        <v>420</v>
      </c>
      <c r="AB45" t="s">
        <v>421</v>
      </c>
      <c r="AD45" t="s">
        <v>422</v>
      </c>
      <c r="AE45" t="s">
        <v>423</v>
      </c>
    </row>
    <row r="46" spans="3:31" x14ac:dyDescent="0.3">
      <c r="C46" t="s">
        <v>605</v>
      </c>
      <c r="R46">
        <v>65</v>
      </c>
      <c r="S46" t="s">
        <v>118</v>
      </c>
      <c r="AA46" t="s">
        <v>424</v>
      </c>
      <c r="AB46" t="s">
        <v>425</v>
      </c>
      <c r="AD46" t="s">
        <v>426</v>
      </c>
      <c r="AE46" t="s">
        <v>427</v>
      </c>
    </row>
    <row r="47" spans="3:31" x14ac:dyDescent="0.3">
      <c r="C47" t="s">
        <v>606</v>
      </c>
      <c r="R47">
        <v>66</v>
      </c>
      <c r="S47" t="s">
        <v>119</v>
      </c>
      <c r="AA47" t="s">
        <v>428</v>
      </c>
      <c r="AB47" t="s">
        <v>429</v>
      </c>
      <c r="AD47" t="s">
        <v>430</v>
      </c>
      <c r="AE47" t="s">
        <v>431</v>
      </c>
    </row>
    <row r="48" spans="3:31" x14ac:dyDescent="0.3">
      <c r="C48" t="s">
        <v>607</v>
      </c>
      <c r="R48">
        <v>67</v>
      </c>
      <c r="S48" t="s">
        <v>120</v>
      </c>
      <c r="AA48" t="s">
        <v>432</v>
      </c>
      <c r="AB48" t="s">
        <v>433</v>
      </c>
      <c r="AD48" t="s">
        <v>434</v>
      </c>
      <c r="AE48" t="s">
        <v>435</v>
      </c>
    </row>
    <row r="49" spans="3:31" x14ac:dyDescent="0.3">
      <c r="C49" t="s">
        <v>608</v>
      </c>
      <c r="R49">
        <v>68</v>
      </c>
      <c r="S49" t="s">
        <v>121</v>
      </c>
      <c r="AA49" t="s">
        <v>436</v>
      </c>
      <c r="AB49" t="s">
        <v>437</v>
      </c>
      <c r="AD49" t="s">
        <v>438</v>
      </c>
      <c r="AE49" t="s">
        <v>439</v>
      </c>
    </row>
    <row r="50" spans="3:31" x14ac:dyDescent="0.3">
      <c r="C50" t="s">
        <v>609</v>
      </c>
      <c r="R50">
        <v>69</v>
      </c>
      <c r="S50" t="s">
        <v>122</v>
      </c>
      <c r="AA50" t="s">
        <v>440</v>
      </c>
      <c r="AB50" t="s">
        <v>441</v>
      </c>
      <c r="AD50" t="s">
        <v>442</v>
      </c>
      <c r="AE50" t="s">
        <v>443</v>
      </c>
    </row>
    <row r="51" spans="3:31" x14ac:dyDescent="0.3">
      <c r="C51" t="s">
        <v>610</v>
      </c>
      <c r="R51">
        <v>70</v>
      </c>
      <c r="S51" t="s">
        <v>123</v>
      </c>
      <c r="AA51" t="s">
        <v>444</v>
      </c>
      <c r="AB51" t="s">
        <v>445</v>
      </c>
      <c r="AD51" t="s">
        <v>446</v>
      </c>
      <c r="AE51" t="s">
        <v>447</v>
      </c>
    </row>
    <row r="52" spans="3:31" x14ac:dyDescent="0.3">
      <c r="C52" t="s">
        <v>611</v>
      </c>
      <c r="AA52" t="s">
        <v>448</v>
      </c>
      <c r="AB52" t="s">
        <v>449</v>
      </c>
      <c r="AD52" t="s">
        <v>450</v>
      </c>
      <c r="AE52" t="s">
        <v>451</v>
      </c>
    </row>
    <row r="53" spans="3:31" x14ac:dyDescent="0.3">
      <c r="C53" t="s">
        <v>612</v>
      </c>
      <c r="AA53" t="s">
        <v>452</v>
      </c>
      <c r="AB53" t="s">
        <v>453</v>
      </c>
      <c r="AD53" t="s">
        <v>454</v>
      </c>
      <c r="AE53" t="s">
        <v>455</v>
      </c>
    </row>
    <row r="54" spans="3:31" x14ac:dyDescent="0.3">
      <c r="C54" t="s">
        <v>613</v>
      </c>
      <c r="AA54" t="s">
        <v>456</v>
      </c>
      <c r="AB54" t="s">
        <v>457</v>
      </c>
      <c r="AD54" t="s">
        <v>458</v>
      </c>
      <c r="AE54" t="s">
        <v>459</v>
      </c>
    </row>
    <row r="55" spans="3:31" x14ac:dyDescent="0.3">
      <c r="C55" t="s">
        <v>614</v>
      </c>
      <c r="AA55" t="s">
        <v>460</v>
      </c>
      <c r="AB55" t="s">
        <v>461</v>
      </c>
      <c r="AD55" t="s">
        <v>462</v>
      </c>
      <c r="AE55" t="s">
        <v>463</v>
      </c>
    </row>
    <row r="56" spans="3:31" x14ac:dyDescent="0.3">
      <c r="C56" t="s">
        <v>615</v>
      </c>
      <c r="AA56" t="s">
        <v>464</v>
      </c>
      <c r="AB56" t="s">
        <v>465</v>
      </c>
      <c r="AD56" t="s">
        <v>466</v>
      </c>
      <c r="AE56" t="s">
        <v>467</v>
      </c>
    </row>
    <row r="57" spans="3:31" x14ac:dyDescent="0.3">
      <c r="C57" t="s">
        <v>616</v>
      </c>
      <c r="AA57" t="s">
        <v>468</v>
      </c>
      <c r="AB57" t="s">
        <v>469</v>
      </c>
      <c r="AD57" t="s">
        <v>470</v>
      </c>
      <c r="AE57" t="s">
        <v>471</v>
      </c>
    </row>
    <row r="58" spans="3:31" x14ac:dyDescent="0.3">
      <c r="R58" t="s">
        <v>631</v>
      </c>
      <c r="S58" t="s">
        <v>18</v>
      </c>
      <c r="AA58" t="s">
        <v>472</v>
      </c>
      <c r="AB58" t="s">
        <v>473</v>
      </c>
      <c r="AD58" t="s">
        <v>474</v>
      </c>
      <c r="AE58" t="s">
        <v>475</v>
      </c>
    </row>
    <row r="59" spans="3:31" x14ac:dyDescent="0.3">
      <c r="R59">
        <v>0</v>
      </c>
      <c r="S59" t="s">
        <v>632</v>
      </c>
      <c r="AA59" t="s">
        <v>476</v>
      </c>
      <c r="AB59" t="s">
        <v>477</v>
      </c>
      <c r="AD59" t="s">
        <v>478</v>
      </c>
      <c r="AE59" t="s">
        <v>479</v>
      </c>
    </row>
    <row r="60" spans="3:31" x14ac:dyDescent="0.3">
      <c r="R60">
        <v>2</v>
      </c>
      <c r="S60" t="s">
        <v>633</v>
      </c>
      <c r="AA60" t="s">
        <v>480</v>
      </c>
      <c r="AB60" t="s">
        <v>481</v>
      </c>
      <c r="AD60" t="s">
        <v>482</v>
      </c>
      <c r="AE60" t="s">
        <v>483</v>
      </c>
    </row>
    <row r="61" spans="3:31" x14ac:dyDescent="0.3">
      <c r="R61">
        <v>36</v>
      </c>
      <c r="S61" t="s">
        <v>634</v>
      </c>
      <c r="AA61" t="s">
        <v>484</v>
      </c>
      <c r="AB61" t="s">
        <v>485</v>
      </c>
      <c r="AD61" t="s">
        <v>486</v>
      </c>
      <c r="AE61" t="s">
        <v>487</v>
      </c>
    </row>
    <row r="62" spans="3:31" x14ac:dyDescent="0.3">
      <c r="R62">
        <v>33</v>
      </c>
      <c r="S62" t="s">
        <v>635</v>
      </c>
      <c r="AA62" t="s">
        <v>488</v>
      </c>
      <c r="AB62" t="s">
        <v>489</v>
      </c>
      <c r="AD62" t="s">
        <v>490</v>
      </c>
      <c r="AE62" t="s">
        <v>491</v>
      </c>
    </row>
    <row r="63" spans="3:31" x14ac:dyDescent="0.3">
      <c r="R63">
        <v>19</v>
      </c>
      <c r="S63" t="s">
        <v>636</v>
      </c>
      <c r="AA63" t="s">
        <v>492</v>
      </c>
      <c r="AB63" t="s">
        <v>493</v>
      </c>
      <c r="AD63" t="s">
        <v>494</v>
      </c>
      <c r="AE63" t="s">
        <v>495</v>
      </c>
    </row>
    <row r="64" spans="3:31" x14ac:dyDescent="0.3">
      <c r="R64">
        <v>58</v>
      </c>
      <c r="S64" t="s">
        <v>637</v>
      </c>
      <c r="AA64" t="s">
        <v>496</v>
      </c>
      <c r="AB64" t="s">
        <v>497</v>
      </c>
      <c r="AD64" t="s">
        <v>498</v>
      </c>
      <c r="AE64" t="s">
        <v>499</v>
      </c>
    </row>
    <row r="65" spans="18:31" x14ac:dyDescent="0.3">
      <c r="R65">
        <v>59</v>
      </c>
      <c r="S65" t="s">
        <v>638</v>
      </c>
      <c r="AA65" t="s">
        <v>500</v>
      </c>
      <c r="AB65" t="s">
        <v>501</v>
      </c>
      <c r="AD65" t="s">
        <v>502</v>
      </c>
      <c r="AE65" t="s">
        <v>503</v>
      </c>
    </row>
    <row r="66" spans="18:31" x14ac:dyDescent="0.3">
      <c r="R66">
        <v>41</v>
      </c>
      <c r="S66" t="s">
        <v>639</v>
      </c>
      <c r="AA66" t="s">
        <v>504</v>
      </c>
      <c r="AB66" t="s">
        <v>505</v>
      </c>
      <c r="AD66" t="s">
        <v>506</v>
      </c>
      <c r="AE66" t="s">
        <v>507</v>
      </c>
    </row>
    <row r="67" spans="18:31" x14ac:dyDescent="0.3">
      <c r="R67">
        <v>50</v>
      </c>
      <c r="S67" t="s">
        <v>640</v>
      </c>
      <c r="AA67" t="s">
        <v>508</v>
      </c>
      <c r="AB67" t="s">
        <v>509</v>
      </c>
      <c r="AD67" t="s">
        <v>510</v>
      </c>
      <c r="AE67" t="s">
        <v>201</v>
      </c>
    </row>
    <row r="68" spans="18:31" x14ac:dyDescent="0.3">
      <c r="R68">
        <v>10</v>
      </c>
      <c r="S68" t="s">
        <v>641</v>
      </c>
      <c r="AA68" t="s">
        <v>511</v>
      </c>
      <c r="AB68" t="s">
        <v>512</v>
      </c>
      <c r="AD68" t="s">
        <v>513</v>
      </c>
      <c r="AE68" t="s">
        <v>514</v>
      </c>
    </row>
    <row r="69" spans="18:31" x14ac:dyDescent="0.3">
      <c r="R69">
        <v>1</v>
      </c>
      <c r="S69" t="s">
        <v>642</v>
      </c>
      <c r="AA69" t="s">
        <v>515</v>
      </c>
      <c r="AB69" t="s">
        <v>145</v>
      </c>
      <c r="AD69" t="s">
        <v>516</v>
      </c>
      <c r="AE69" t="s">
        <v>517</v>
      </c>
    </row>
    <row r="70" spans="18:31" x14ac:dyDescent="0.3">
      <c r="R70">
        <v>8</v>
      </c>
      <c r="S70" t="s">
        <v>643</v>
      </c>
      <c r="AD70" t="s">
        <v>518</v>
      </c>
      <c r="AE70" t="s">
        <v>519</v>
      </c>
    </row>
    <row r="71" spans="18:31" x14ac:dyDescent="0.3">
      <c r="R71">
        <v>7</v>
      </c>
      <c r="S71" t="s">
        <v>644</v>
      </c>
      <c r="AD71" t="s">
        <v>520</v>
      </c>
      <c r="AE71" t="s">
        <v>521</v>
      </c>
    </row>
    <row r="72" spans="18:31" x14ac:dyDescent="0.3">
      <c r="R72">
        <v>34</v>
      </c>
      <c r="S72" t="s">
        <v>645</v>
      </c>
      <c r="AD72" t="s">
        <v>522</v>
      </c>
      <c r="AE72" t="s">
        <v>523</v>
      </c>
    </row>
    <row r="73" spans="18:31" x14ac:dyDescent="0.3">
      <c r="R73">
        <v>35</v>
      </c>
      <c r="S73" t="s">
        <v>646</v>
      </c>
      <c r="AD73" t="s">
        <v>524</v>
      </c>
      <c r="AE73" t="s">
        <v>525</v>
      </c>
    </row>
    <row r="74" spans="18:31" x14ac:dyDescent="0.3">
      <c r="R74">
        <v>17</v>
      </c>
      <c r="S74" t="s">
        <v>647</v>
      </c>
      <c r="AD74" t="s">
        <v>526</v>
      </c>
      <c r="AE74" t="s">
        <v>527</v>
      </c>
    </row>
    <row r="75" spans="18:31" x14ac:dyDescent="0.3">
      <c r="R75">
        <v>18</v>
      </c>
      <c r="S75" t="s">
        <v>648</v>
      </c>
      <c r="AD75" t="s">
        <v>528</v>
      </c>
      <c r="AE75" t="s">
        <v>529</v>
      </c>
    </row>
    <row r="76" spans="18:31" x14ac:dyDescent="0.3">
      <c r="R76">
        <v>60</v>
      </c>
      <c r="S76" t="s">
        <v>649</v>
      </c>
      <c r="AD76" t="s">
        <v>530</v>
      </c>
      <c r="AE76" t="s">
        <v>531</v>
      </c>
    </row>
    <row r="77" spans="18:31" x14ac:dyDescent="0.3">
      <c r="R77">
        <v>57</v>
      </c>
      <c r="S77" t="s">
        <v>650</v>
      </c>
      <c r="AD77" t="s">
        <v>532</v>
      </c>
      <c r="AE77" t="s">
        <v>533</v>
      </c>
    </row>
    <row r="78" spans="18:31" x14ac:dyDescent="0.3">
      <c r="R78">
        <v>40</v>
      </c>
      <c r="S78" t="s">
        <v>651</v>
      </c>
      <c r="AD78" t="s">
        <v>534</v>
      </c>
      <c r="AE78" t="s">
        <v>535</v>
      </c>
    </row>
    <row r="79" spans="18:31" x14ac:dyDescent="0.3">
      <c r="R79">
        <v>49</v>
      </c>
      <c r="S79" t="s">
        <v>652</v>
      </c>
      <c r="AD79" t="s">
        <v>536</v>
      </c>
      <c r="AE79" t="s">
        <v>537</v>
      </c>
    </row>
    <row r="80" spans="18:31" x14ac:dyDescent="0.3">
      <c r="AD80" t="s">
        <v>538</v>
      </c>
      <c r="AE80" t="s">
        <v>539</v>
      </c>
    </row>
    <row r="81" spans="30:31" x14ac:dyDescent="0.3">
      <c r="AD81" t="s">
        <v>540</v>
      </c>
      <c r="AE81" t="s">
        <v>541</v>
      </c>
    </row>
    <row r="82" spans="30:31" x14ac:dyDescent="0.3">
      <c r="AD82" t="s">
        <v>542</v>
      </c>
      <c r="AE82" t="s">
        <v>543</v>
      </c>
    </row>
    <row r="83" spans="30:31" x14ac:dyDescent="0.3">
      <c r="AD83" t="s">
        <v>544</v>
      </c>
      <c r="AE83" t="s">
        <v>545</v>
      </c>
    </row>
    <row r="84" spans="30:31" x14ac:dyDescent="0.3">
      <c r="AD84" t="s">
        <v>546</v>
      </c>
      <c r="AE84" t="s">
        <v>547</v>
      </c>
    </row>
    <row r="85" spans="30:31" x14ac:dyDescent="0.3">
      <c r="AD85" t="s">
        <v>548</v>
      </c>
      <c r="AE85" t="s">
        <v>549</v>
      </c>
    </row>
    <row r="86" spans="30:31" x14ac:dyDescent="0.3">
      <c r="AD86" t="s">
        <v>550</v>
      </c>
      <c r="AE86" t="s">
        <v>551</v>
      </c>
    </row>
    <row r="87" spans="30:31" x14ac:dyDescent="0.3">
      <c r="AD87" t="s">
        <v>552</v>
      </c>
      <c r="AE87" t="s">
        <v>553</v>
      </c>
    </row>
    <row r="88" spans="30:31" x14ac:dyDescent="0.3">
      <c r="AD88" t="s">
        <v>554</v>
      </c>
      <c r="AE88" t="s">
        <v>555</v>
      </c>
    </row>
    <row r="89" spans="30:31" x14ac:dyDescent="0.3">
      <c r="AD89" t="s">
        <v>556</v>
      </c>
      <c r="AE89" t="s">
        <v>557</v>
      </c>
    </row>
    <row r="90" spans="30:31" x14ac:dyDescent="0.3">
      <c r="AD90" t="s">
        <v>558</v>
      </c>
      <c r="AE90" t="s">
        <v>559</v>
      </c>
    </row>
    <row r="91" spans="30:31" x14ac:dyDescent="0.3">
      <c r="AD91" t="s">
        <v>560</v>
      </c>
      <c r="AE91" t="s">
        <v>561</v>
      </c>
    </row>
    <row r="92" spans="30:31" x14ac:dyDescent="0.3">
      <c r="AD92" t="s">
        <v>562</v>
      </c>
      <c r="AE92" t="s">
        <v>563</v>
      </c>
    </row>
    <row r="93" spans="30:31" x14ac:dyDescent="0.3">
      <c r="AD93" t="s">
        <v>564</v>
      </c>
      <c r="AE93" t="s">
        <v>565</v>
      </c>
    </row>
    <row r="94" spans="30:31" x14ac:dyDescent="0.3">
      <c r="AD94" t="s">
        <v>566</v>
      </c>
      <c r="AE94" t="s">
        <v>567</v>
      </c>
    </row>
    <row r="95" spans="30:31" x14ac:dyDescent="0.3">
      <c r="AD95" t="s">
        <v>568</v>
      </c>
      <c r="AE95" t="s">
        <v>569</v>
      </c>
    </row>
    <row r="96" spans="30:31" x14ac:dyDescent="0.3">
      <c r="AD96" t="s">
        <v>570</v>
      </c>
      <c r="AE96" t="s">
        <v>571</v>
      </c>
    </row>
    <row r="97" spans="30:31" x14ac:dyDescent="0.3">
      <c r="AD97" t="s">
        <v>572</v>
      </c>
      <c r="AE97" t="s">
        <v>573</v>
      </c>
    </row>
    <row r="98" spans="30:31" x14ac:dyDescent="0.3">
      <c r="AD98" t="s">
        <v>13</v>
      </c>
      <c r="AE98" t="s">
        <v>202</v>
      </c>
    </row>
    <row r="99" spans="30:31" x14ac:dyDescent="0.3">
      <c r="AD99" t="s">
        <v>184</v>
      </c>
      <c r="AE99" t="s">
        <v>574</v>
      </c>
    </row>
    <row r="100" spans="30:31" x14ac:dyDescent="0.3">
      <c r="AD100" t="s">
        <v>404</v>
      </c>
      <c r="AE100" t="s">
        <v>575</v>
      </c>
    </row>
    <row r="101" spans="30:31" x14ac:dyDescent="0.3">
      <c r="AD101" t="s">
        <v>219</v>
      </c>
      <c r="AE101" t="s">
        <v>576</v>
      </c>
    </row>
    <row r="102" spans="30:31" x14ac:dyDescent="0.3">
      <c r="AD102" t="s">
        <v>456</v>
      </c>
      <c r="AE102" t="s">
        <v>577</v>
      </c>
    </row>
    <row r="103" spans="30:31" x14ac:dyDescent="0.3">
      <c r="AD103" t="s">
        <v>229</v>
      </c>
      <c r="AE103" t="s">
        <v>578</v>
      </c>
    </row>
    <row r="104" spans="30:31" x14ac:dyDescent="0.3">
      <c r="AD104" t="s">
        <v>392</v>
      </c>
      <c r="AE104" t="s">
        <v>579</v>
      </c>
    </row>
    <row r="105" spans="30:31" x14ac:dyDescent="0.3">
      <c r="AD105" t="s">
        <v>396</v>
      </c>
      <c r="AE105" t="s">
        <v>580</v>
      </c>
    </row>
    <row r="106" spans="30:31" x14ac:dyDescent="0.3">
      <c r="AD106" t="s">
        <v>452</v>
      </c>
      <c r="AE106" t="s">
        <v>581</v>
      </c>
    </row>
    <row r="107" spans="30:31" x14ac:dyDescent="0.3">
      <c r="AD107" t="s">
        <v>408</v>
      </c>
      <c r="AE107" t="s">
        <v>582</v>
      </c>
    </row>
    <row r="108" spans="30:31" x14ac:dyDescent="0.3">
      <c r="AD108" t="s">
        <v>243</v>
      </c>
      <c r="AE108" t="s">
        <v>583</v>
      </c>
    </row>
    <row r="109" spans="30:31" x14ac:dyDescent="0.3">
      <c r="AD109" t="s">
        <v>460</v>
      </c>
      <c r="AE109" t="s">
        <v>584</v>
      </c>
    </row>
    <row r="110" spans="30:31" x14ac:dyDescent="0.3">
      <c r="AD110" t="s">
        <v>249</v>
      </c>
      <c r="AE110" t="s">
        <v>585</v>
      </c>
    </row>
    <row r="111" spans="30:31" x14ac:dyDescent="0.3">
      <c r="AD111" t="s">
        <v>254</v>
      </c>
      <c r="AE111" t="s">
        <v>586</v>
      </c>
    </row>
    <row r="112" spans="30:31" x14ac:dyDescent="0.3">
      <c r="AD112" t="s">
        <v>260</v>
      </c>
      <c r="AE112" t="s">
        <v>587</v>
      </c>
    </row>
    <row r="113" spans="30:31" x14ac:dyDescent="0.3">
      <c r="AD113" t="s">
        <v>253</v>
      </c>
      <c r="AE113" t="s">
        <v>588</v>
      </c>
    </row>
    <row r="114" spans="30:31" x14ac:dyDescent="0.3">
      <c r="AD114" t="s">
        <v>247</v>
      </c>
      <c r="AE114" t="s">
        <v>589</v>
      </c>
    </row>
    <row r="115" spans="30:31" x14ac:dyDescent="0.3">
      <c r="AD115" t="s">
        <v>400</v>
      </c>
      <c r="AE115" t="s">
        <v>590</v>
      </c>
    </row>
    <row r="116" spans="30:31" x14ac:dyDescent="0.3">
      <c r="AD116" t="s">
        <v>235</v>
      </c>
      <c r="AE116" t="s">
        <v>591</v>
      </c>
    </row>
    <row r="117" spans="30:31" x14ac:dyDescent="0.3">
      <c r="AD117" t="s">
        <v>380</v>
      </c>
      <c r="AE117" t="s">
        <v>592</v>
      </c>
    </row>
    <row r="118" spans="30:31" x14ac:dyDescent="0.3">
      <c r="AD118" t="s">
        <v>372</v>
      </c>
      <c r="AE118" t="s">
        <v>593</v>
      </c>
    </row>
    <row r="119" spans="30:31" x14ac:dyDescent="0.3">
      <c r="AD119" t="s">
        <v>258</v>
      </c>
      <c r="AE119" t="s">
        <v>594</v>
      </c>
    </row>
    <row r="120" spans="30:31" x14ac:dyDescent="0.3">
      <c r="AD120" t="s">
        <v>302</v>
      </c>
      <c r="AE120" t="s">
        <v>595</v>
      </c>
    </row>
    <row r="121" spans="30:31" x14ac:dyDescent="0.3">
      <c r="AD121" t="s">
        <v>359</v>
      </c>
      <c r="AE121" t="s">
        <v>596</v>
      </c>
    </row>
    <row r="122" spans="30:31" x14ac:dyDescent="0.3">
      <c r="AD122" t="s">
        <v>448</v>
      </c>
      <c r="AE122" t="s">
        <v>597</v>
      </c>
    </row>
    <row r="123" spans="30:31" x14ac:dyDescent="0.3">
      <c r="AD123" t="s">
        <v>464</v>
      </c>
      <c r="AE123" t="s">
        <v>598</v>
      </c>
    </row>
    <row r="124" spans="30:31" x14ac:dyDescent="0.3">
      <c r="AD124" t="s">
        <v>368</v>
      </c>
      <c r="AE124" t="s">
        <v>599</v>
      </c>
    </row>
    <row r="125" spans="30:31" x14ac:dyDescent="0.3">
      <c r="AD125" t="s">
        <v>444</v>
      </c>
      <c r="AE125" t="s">
        <v>600</v>
      </c>
    </row>
    <row r="126" spans="30:31" x14ac:dyDescent="0.3">
      <c r="AD126" t="s">
        <v>364</v>
      </c>
      <c r="AE126" t="s">
        <v>601</v>
      </c>
    </row>
  </sheetData>
  <pageMargins left="0.7" right="0.7" top="0.75" bottom="0.75" header="0.3" footer="0.3"/>
  <tableParts count="8">
    <tablePart r:id="rId1"/>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29CD4-FA6F-4EB4-83D9-E941C5BFFBAE}">
  <sheetPr codeName="Sheet4"/>
  <dimension ref="A1:BA184"/>
  <sheetViews>
    <sheetView zoomScale="85" zoomScaleNormal="85" workbookViewId="0">
      <selection activeCell="G2" sqref="G2"/>
    </sheetView>
  </sheetViews>
  <sheetFormatPr defaultRowHeight="14.4" x14ac:dyDescent="0.3"/>
  <cols>
    <col min="1" max="1" width="14.44140625" bestFit="1" customWidth="1"/>
    <col min="3" max="3" width="9.44140625" bestFit="1" customWidth="1"/>
    <col min="5" max="5" width="19.33203125" bestFit="1" customWidth="1"/>
    <col min="7" max="7" width="19.33203125" bestFit="1" customWidth="1"/>
    <col min="8" max="8" width="20.6640625" bestFit="1" customWidth="1"/>
    <col min="10" max="10" width="6.33203125" bestFit="1" customWidth="1"/>
    <col min="11" max="11" width="4" bestFit="1" customWidth="1"/>
    <col min="12" max="12" width="8.5546875" bestFit="1" customWidth="1"/>
    <col min="13" max="13" width="4" bestFit="1" customWidth="1"/>
    <col min="14" max="14" width="8.5546875" bestFit="1" customWidth="1"/>
    <col min="15" max="15" width="4" bestFit="1" customWidth="1"/>
    <col min="16" max="16" width="8.5546875" bestFit="1" customWidth="1"/>
    <col min="17" max="17" width="4" bestFit="1" customWidth="1"/>
    <col min="18" max="18" width="8.5546875" bestFit="1" customWidth="1"/>
    <col min="19" max="19" width="4" bestFit="1" customWidth="1"/>
    <col min="20" max="20" width="8.5546875" bestFit="1" customWidth="1"/>
    <col min="21" max="21" width="4" bestFit="1" customWidth="1"/>
    <col min="22" max="22" width="8.5546875" bestFit="1" customWidth="1"/>
    <col min="23" max="23" width="4" bestFit="1" customWidth="1"/>
    <col min="24" max="24" width="8.5546875" bestFit="1" customWidth="1"/>
    <col min="25" max="25" width="4" bestFit="1" customWidth="1"/>
    <col min="26" max="26" width="8.5546875" bestFit="1" customWidth="1"/>
    <col min="27" max="27" width="4" bestFit="1" customWidth="1"/>
    <col min="28" max="28" width="8.5546875" bestFit="1" customWidth="1"/>
    <col min="29" max="29" width="4" bestFit="1" customWidth="1"/>
    <col min="30" max="30" width="8.5546875" bestFit="1" customWidth="1"/>
    <col min="31" max="31" width="6.33203125" bestFit="1" customWidth="1"/>
    <col min="33" max="34" width="11.6640625" bestFit="1" customWidth="1"/>
    <col min="35" max="35" width="8.5546875" bestFit="1" customWidth="1"/>
    <col min="36" max="36" width="8.5546875" customWidth="1"/>
    <col min="37" max="37" width="17.33203125" bestFit="1" customWidth="1"/>
    <col min="38" max="38" width="16.44140625" bestFit="1" customWidth="1"/>
    <col min="39" max="39" width="21.33203125" customWidth="1"/>
    <col min="40" max="41" width="25.44140625" customWidth="1"/>
    <col min="42" max="42" width="19.44140625" bestFit="1" customWidth="1"/>
    <col min="43" max="43" width="9.88671875" bestFit="1" customWidth="1"/>
    <col min="44" max="44" width="8.21875" bestFit="1" customWidth="1"/>
    <col min="45" max="45" width="9.88671875" bestFit="1" customWidth="1"/>
    <col min="46" max="46" width="8.77734375" bestFit="1" customWidth="1"/>
    <col min="47" max="47" width="10.109375" bestFit="1" customWidth="1"/>
    <col min="48" max="48" width="20.44140625" bestFit="1" customWidth="1"/>
    <col min="50" max="50" width="10.109375" bestFit="1" customWidth="1"/>
    <col min="51" max="51" width="14.77734375" customWidth="1"/>
    <col min="52" max="52" width="9.44140625" customWidth="1"/>
    <col min="53" max="53" width="14.109375" customWidth="1"/>
  </cols>
  <sheetData>
    <row r="1" spans="1:53" ht="25.2" customHeight="1" thickBot="1" x14ac:dyDescent="0.35">
      <c r="A1" s="11" t="s">
        <v>124</v>
      </c>
      <c r="B1" s="12" t="s">
        <v>125</v>
      </c>
      <c r="D1" s="11" t="s">
        <v>124</v>
      </c>
      <c r="E1" s="12" t="str">
        <f>AG4</f>
        <v>J424146EN3</v>
      </c>
      <c r="J1" s="10" t="s">
        <v>126</v>
      </c>
      <c r="K1" s="64" t="str">
        <f>Units!A2</f>
        <v>74X97M1000031</v>
      </c>
      <c r="L1" s="65"/>
      <c r="M1" s="65"/>
      <c r="N1" s="65"/>
      <c r="O1" s="18"/>
      <c r="P1" s="10" t="s">
        <v>127</v>
      </c>
      <c r="Q1" s="10" t="str">
        <f>AI4</f>
        <v>1</v>
      </c>
      <c r="R1" s="16"/>
      <c r="S1" s="10" t="s">
        <v>180</v>
      </c>
      <c r="T1" s="10" t="str">
        <f>AH4</f>
        <v>1</v>
      </c>
      <c r="U1" s="16"/>
      <c r="V1" s="16"/>
      <c r="W1" s="16"/>
    </row>
    <row r="2" spans="1:53" ht="39.6" customHeight="1" thickBot="1" x14ac:dyDescent="0.35">
      <c r="J2" s="13" t="s">
        <v>128</v>
      </c>
      <c r="K2" s="42" t="str" cm="1">
        <f t="array" ref="K2">_xlfn.XLOOKUP(K1&amp;T1&amp;"-"&amp;Q1&amp;"DPMB_SOCKET0__IO0__UNCORE__UBOX__NCDECS__BIOSNONSTICKYSCRATCHPAD7_CFG_8749",cha_mc[VisualId]&amp;cha_mc[PPVRun_MC]&amp;cha_mc[TestNameWithoutNumeric],cha_mc[TestValue],"")</f>
        <v/>
      </c>
      <c r="L2" s="42"/>
      <c r="M2" s="42"/>
      <c r="N2" s="42"/>
      <c r="O2" s="42"/>
      <c r="P2" s="42"/>
      <c r="Q2" s="43"/>
      <c r="R2" s="60" t="s">
        <v>181</v>
      </c>
      <c r="S2" s="61"/>
      <c r="T2" s="62" t="str">
        <f>VLOOKUP(K1,Units!A1:B29,2,FALSE)</f>
        <v/>
      </c>
      <c r="U2" s="62"/>
      <c r="V2" s="62"/>
      <c r="W2" s="63"/>
      <c r="AK2" t="s">
        <v>129</v>
      </c>
      <c r="AS2" s="39" t="s">
        <v>195</v>
      </c>
      <c r="AT2" s="40"/>
      <c r="AU2" s="41"/>
      <c r="AY2" s="39" t="s">
        <v>204</v>
      </c>
      <c r="AZ2" s="40"/>
      <c r="BA2" s="41"/>
    </row>
    <row r="3" spans="1:53" x14ac:dyDescent="0.3">
      <c r="A3" s="9" t="s">
        <v>126</v>
      </c>
      <c r="B3" s="9" t="s">
        <v>127</v>
      </c>
      <c r="C3" s="9" t="s">
        <v>130</v>
      </c>
      <c r="D3" s="9" t="s">
        <v>131</v>
      </c>
      <c r="E3" s="9" t="s">
        <v>132</v>
      </c>
      <c r="F3" s="9" t="s">
        <v>133</v>
      </c>
      <c r="G3" s="9" t="s">
        <v>134</v>
      </c>
      <c r="H3" s="9" t="s">
        <v>135</v>
      </c>
      <c r="J3" s="58" t="s">
        <v>136</v>
      </c>
      <c r="K3" s="59"/>
      <c r="L3" s="59"/>
      <c r="M3" s="59"/>
      <c r="N3" s="59"/>
      <c r="O3" s="59"/>
      <c r="P3" s="59"/>
      <c r="Q3" s="59"/>
      <c r="R3" s="46"/>
      <c r="S3" s="46"/>
      <c r="T3" s="46"/>
      <c r="U3" s="46"/>
      <c r="V3" s="46"/>
      <c r="W3" s="46"/>
      <c r="X3" s="46"/>
      <c r="Y3" s="46"/>
      <c r="Z3" s="46"/>
      <c r="AA3" s="46"/>
      <c r="AB3" s="46"/>
      <c r="AC3" s="46"/>
      <c r="AD3" s="46"/>
      <c r="AE3" s="37"/>
      <c r="AG3" s="8" t="s">
        <v>1</v>
      </c>
      <c r="AH3" s="8" t="s">
        <v>180</v>
      </c>
      <c r="AI3" s="8" t="s">
        <v>137</v>
      </c>
      <c r="AK3" s="7" t="s">
        <v>130</v>
      </c>
      <c r="AL3" s="7" t="str" cm="1">
        <f t="array" ref="AL3">_xlfn.UNIQUE(_xlfn._xlws.FILTER(F:F,H:H&lt;&gt;""))</f>
        <v>CHA</v>
      </c>
      <c r="AM3" s="7" t="s">
        <v>138</v>
      </c>
      <c r="AN3" s="7" t="s">
        <v>139</v>
      </c>
      <c r="AO3" s="7" t="s">
        <v>140</v>
      </c>
      <c r="AP3" s="7" t="s">
        <v>214</v>
      </c>
      <c r="AQ3" s="7" t="s">
        <v>196</v>
      </c>
      <c r="AR3" s="29" t="s">
        <v>197</v>
      </c>
      <c r="AS3" s="29" t="s">
        <v>198</v>
      </c>
      <c r="AT3" s="29" t="s">
        <v>199</v>
      </c>
      <c r="AU3" s="29" t="s">
        <v>200</v>
      </c>
      <c r="AV3" s="31" t="s">
        <v>205</v>
      </c>
      <c r="AW3" s="31" t="s">
        <v>206</v>
      </c>
      <c r="AX3" s="32" t="s">
        <v>207</v>
      </c>
      <c r="AY3" s="32" t="s">
        <v>208</v>
      </c>
      <c r="AZ3" s="32" t="s">
        <v>209</v>
      </c>
      <c r="BA3" s="32" t="s">
        <v>210</v>
      </c>
    </row>
    <row r="4" spans="1:53" x14ac:dyDescent="0.3">
      <c r="A4" s="4" t="str">
        <f t="shared" ref="A4:A35" si="0">$K$1</f>
        <v>74X97M1000031</v>
      </c>
      <c r="B4" s="4" t="str">
        <f>$T$1&amp;"-"&amp;$Q$1</f>
        <v>1-1</v>
      </c>
      <c r="C4" s="4">
        <v>0</v>
      </c>
      <c r="D4" s="4">
        <v>0</v>
      </c>
      <c r="E4" s="4" t="str" cm="1">
        <f t="array" ref="E4">_xlfn.XLOOKUP(A4&amp;B4&amp;$E$1&amp;"DPMB_SOCKET0__COMPUTE"&amp;C4&amp;"__CPU__CORE"&amp;Check!D4&amp;"__ML2_CR_MC3_STATUS"&amp;$B$1,core_mc[VisualId]&amp;core_mc[PPVRun_MC]&amp;core_mc[Lot]&amp;core_mc[TestNameWithoutNumeric],core_mc[TestValue],"")</f>
        <v/>
      </c>
      <c r="F4" s="4">
        <v>0</v>
      </c>
      <c r="G4" s="4" t="str" cm="1">
        <f t="array" ref="G4">_xlfn.XLOOKUP(A4&amp;B4&amp;$E$1&amp;"DPMB_SOCKET0__COMPUTE"&amp;C4&amp;"__UNCORE__CHA__CHA"&amp;Check!F4&amp;"__UTIL__MC_STATUS"&amp;$B$1,cha_mc[VisualId]&amp;cha_mc[PPVRun_MC]&amp;cha_mc[Lot]&amp;cha_mc[TestNameWithoutNumeric],cha_mc[TestValue],"")</f>
        <v/>
      </c>
      <c r="H4" s="4" t="str">
        <f>IF(G4="0X20000000000000","",G4)</f>
        <v/>
      </c>
      <c r="J4" s="1" t="s">
        <v>141</v>
      </c>
      <c r="K4" s="36">
        <v>0</v>
      </c>
      <c r="L4" s="37"/>
      <c r="M4" s="36">
        <v>1</v>
      </c>
      <c r="N4" s="37"/>
      <c r="O4" s="36">
        <v>2</v>
      </c>
      <c r="P4" s="37"/>
      <c r="Q4" s="36">
        <v>3</v>
      </c>
      <c r="R4" s="37"/>
      <c r="S4" s="36">
        <v>4</v>
      </c>
      <c r="T4" s="37"/>
      <c r="U4" s="36">
        <v>5</v>
      </c>
      <c r="V4" s="37"/>
      <c r="W4" s="36">
        <v>6</v>
      </c>
      <c r="X4" s="37"/>
      <c r="Y4" s="36">
        <v>7</v>
      </c>
      <c r="Z4" s="37"/>
      <c r="AA4" s="36">
        <v>8</v>
      </c>
      <c r="AB4" s="37"/>
      <c r="AC4" s="36">
        <v>9</v>
      </c>
      <c r="AD4" s="37"/>
      <c r="AE4" s="1" t="s">
        <v>141</v>
      </c>
      <c r="AG4" s="15" t="str" cm="1">
        <f t="array" ref="AG4">_xlfn.UNIQUE(_xlfn._xlws.FILTER(core_mc[Lot],core_mc[VisualId]=K1))</f>
        <v>J424146EN3</v>
      </c>
      <c r="AH4" s="15" t="str" cm="1">
        <f t="array" ref="AH4">_xlfn.UNIQUE(_xlfn._xlws.FILTER(core_mc[LotsSeqKey],(core_mc[VisualId]=K1)*(core_mc[Lot]=E1)))</f>
        <v>1</v>
      </c>
      <c r="AI4" s="4" t="str" cm="1">
        <f t="array" ref="AI4">_xlfn.UNIQUE(_xlfn._xlws.FILTER(core_mc[UnitTestingSeqKey],((core_mc[VisualId]=K1)*(core_mc[LotsSeqKey]=(T1))*(core_mc[Lot]=E1))))</f>
        <v>1</v>
      </c>
      <c r="AK4" s="4" t="str">
        <f>_xlfn.XLOOKUP(AL4,$F$4:$F$183,$C$4:$C$183,"")</f>
        <v/>
      </c>
      <c r="AL4" s="4"/>
      <c r="AM4" s="4" t="str">
        <f>REPLACE(_xlfn.XLOOKUP(AL4,$F$4:$F$183,$G$4:$G$183,""),1,2,"")</f>
        <v/>
      </c>
      <c r="AN4" s="4" t="str">
        <f>IFERROR(_xlfn.XLOOKUP(HEX2DEC(MID(AM4,LEN(AM4)-7,4)),mscod[MSCOD_BY_VAL],mscod[Description],""),"")</f>
        <v/>
      </c>
      <c r="AO4" s="4" t="str" cm="1">
        <f t="array" ref="AO4">_xlfn.XLOOKUP($K$1&amp;$Q$1&amp;"DPMB_SOCKET0__COMPUTE"&amp;AK4&amp;"__UNCORE__CHA__CHA"&amp;AL4&amp;"__UTIL__MC_ADDR"&amp;$B$1,cha_mc[VisualId]&amp;cha_mc[UnitTestingSeqKey]&amp;cha_mc[TestName],cha_mc[TestValue],"")</f>
        <v/>
      </c>
      <c r="AP4" s="4" t="str" cm="1">
        <f t="array" ref="AP4">_xlfn.XLOOKUP($K$1&amp;$Q$1&amp;"DPMB_SOCKET0__COMPUTE"&amp;AK4&amp;"__UNCORE__CHA__CHA"&amp;AL4&amp;"__UTIL__MC_MISC"&amp;$B$1,cha_mc[VisualId]&amp;cha_mc[UnitTestingSeqKey]&amp;cha_mc[TestName],cha_mc[TestValue],"")</f>
        <v/>
      </c>
      <c r="AQ4" s="30"/>
      <c r="AR4" s="30"/>
      <c r="AS4" s="30"/>
      <c r="AT4" s="30"/>
      <c r="AU4" s="30"/>
      <c r="AV4" s="4" t="str" cm="1">
        <f t="array" ref="AV4">_xlfn.XLOOKUP($K$1&amp;$Q$1&amp;"DPMB_SOCKET0__COMPUTE"&amp;AK4&amp;"__UNCORE__CHA__CHA"&amp;AL4&amp;"__UTIL__MC_MISC3"&amp;$B$1,cha_mc[VisualId]&amp;cha_mc[UnitTestingSeqKey]&amp;cha_mc[TestName],cha_mc[TestValue],"")</f>
        <v/>
      </c>
      <c r="AW4" s="30"/>
      <c r="AX4" s="30"/>
      <c r="AY4" s="30"/>
      <c r="AZ4" s="30"/>
      <c r="BA4" s="30"/>
    </row>
    <row r="5" spans="1:53" x14ac:dyDescent="0.3">
      <c r="A5" s="4" t="str">
        <f t="shared" si="0"/>
        <v>74X97M1000031</v>
      </c>
      <c r="B5" s="4" t="str">
        <f t="shared" ref="B5:B68" si="1">$T$1&amp;"-"&amp;$Q$1</f>
        <v>1-1</v>
      </c>
      <c r="C5" s="4">
        <v>0</v>
      </c>
      <c r="D5" s="4">
        <v>1</v>
      </c>
      <c r="E5" s="4" t="str" cm="1">
        <f t="array" ref="E5">_xlfn.XLOOKUP(A5&amp;B5&amp;$E$1&amp;"DPMB_SOCKET0__COMPUTE"&amp;C5&amp;"__CPU__CORE"&amp;Check!D5&amp;"__ML2_CR_MC3_STATUS"&amp;$B$1,core_mc[VisualId]&amp;core_mc[PPVRun_MC]&amp;core_mc[Lot]&amp;core_mc[TestNameWithoutNumeric],core_mc[TestValue],"")</f>
        <v/>
      </c>
      <c r="F5" s="4">
        <v>1</v>
      </c>
      <c r="G5" s="4" t="str" cm="1">
        <f t="array" ref="G5">_xlfn.XLOOKUP(A5&amp;B5&amp;$E$1&amp;"DPMB_SOCKET0__COMPUTE"&amp;C5&amp;"__UNCORE__CHA__CHA"&amp;Check!F5&amp;"__UTIL__MC_STATUS"&amp;$B$1,cha_mc[VisualId]&amp;cha_mc[PPVRun_MC]&amp;cha_mc[Lot]&amp;cha_mc[TestNameWithoutNumeric],cha_mc[TestValue],"")</f>
        <v/>
      </c>
      <c r="H5" s="4" t="str">
        <f t="shared" ref="H5:H68" si="2">IF(G5="0X20000000000000","",G5)</f>
        <v/>
      </c>
      <c r="J5" s="3">
        <v>0</v>
      </c>
      <c r="K5" s="38" t="s">
        <v>142</v>
      </c>
      <c r="L5" s="37"/>
      <c r="M5" s="38"/>
      <c r="N5" s="37"/>
      <c r="O5" s="38"/>
      <c r="P5" s="37"/>
      <c r="Q5" s="38" t="s">
        <v>143</v>
      </c>
      <c r="R5" s="37"/>
      <c r="S5" s="38"/>
      <c r="T5" s="37"/>
      <c r="U5" s="38" t="s">
        <v>144</v>
      </c>
      <c r="V5" s="37"/>
      <c r="W5" s="38"/>
      <c r="X5" s="37"/>
      <c r="Y5" s="38" t="s">
        <v>145</v>
      </c>
      <c r="Z5" s="37"/>
      <c r="AA5" s="38"/>
      <c r="AB5" s="37"/>
      <c r="AC5" s="38" t="s">
        <v>146</v>
      </c>
      <c r="AD5" s="37"/>
      <c r="AE5" s="3">
        <v>0</v>
      </c>
      <c r="AG5" s="15"/>
      <c r="AH5" s="15"/>
      <c r="AI5" s="4"/>
      <c r="AK5" s="4" t="str">
        <f t="shared" ref="AK5:AK68" si="3">_xlfn.XLOOKUP(AL5,$F$4:$F$183,$C$4:$C$183,"")</f>
        <v/>
      </c>
      <c r="AL5" s="4"/>
      <c r="AM5" s="4" t="str">
        <f t="shared" ref="AM5:AM68" si="4">REPLACE(_xlfn.XLOOKUP(AL5,$F$4:$F$183,$G$4:$G$183,""),1,2,"")</f>
        <v/>
      </c>
      <c r="AN5" s="4" t="str">
        <f>IFERROR(_xlfn.XLOOKUP(HEX2DEC(MID(AM5,LEN(AM5)-7,4)),mscod[MSCOD_BY_VAL],mscod[Description],""),"")</f>
        <v/>
      </c>
      <c r="AO5" s="4" t="str" cm="1">
        <f t="array" ref="AO5">_xlfn.XLOOKUP($K$1&amp;$Q$1&amp;"DPMB_SOCKET0__COMPUTE"&amp;AK5&amp;"__UNCORE__CHA__CHA"&amp;AL5&amp;"__UTIL__MC_ADDR"&amp;$B$1,cha_mc[VisualId]&amp;cha_mc[UnitTestingSeqKey]&amp;cha_mc[TestName],cha_mc[TestValue],"")</f>
        <v/>
      </c>
      <c r="AP5" s="4" t="str" cm="1">
        <f t="array" ref="AP5">_xlfn.XLOOKUP($K$1&amp;$Q$1&amp;"DPMB_SOCKET0__COMPUTE"&amp;AK5&amp;"__UNCORE__CHA__CHA"&amp;AL5&amp;"__UTIL__MC_MISC"&amp;$B$1,cha_mc[VisualId]&amp;cha_mc[UnitTestingSeqKey]&amp;cha_mc[TestName],cha_mc[TestValue],"")</f>
        <v/>
      </c>
      <c r="AQ5" s="30"/>
      <c r="AR5" s="30"/>
      <c r="AS5" s="30"/>
      <c r="AT5" s="30"/>
      <c r="AU5" s="30"/>
      <c r="AV5" s="4" t="str" cm="1">
        <f t="array" ref="AV5">_xlfn.XLOOKUP($K$1&amp;$Q$1&amp;"DPMB_SOCKET0__COMPUTE"&amp;AK5&amp;"__UNCORE__CHA__CHA"&amp;AL5&amp;"__UTIL__MC_MISC3"&amp;$B$1,cha_mc[VisualId]&amp;cha_mc[UnitTestingSeqKey]&amp;cha_mc[TestName],cha_mc[TestValue],"")</f>
        <v/>
      </c>
      <c r="AW5" s="30"/>
      <c r="AX5" s="30"/>
      <c r="AY5" s="30"/>
      <c r="AZ5" s="30"/>
      <c r="BA5" s="30"/>
    </row>
    <row r="6" spans="1:53" x14ac:dyDescent="0.3">
      <c r="A6" s="4" t="str">
        <f t="shared" si="0"/>
        <v>74X97M1000031</v>
      </c>
      <c r="B6" s="4" t="str">
        <f t="shared" si="1"/>
        <v>1-1</v>
      </c>
      <c r="C6" s="4">
        <v>0</v>
      </c>
      <c r="D6" s="4">
        <v>2</v>
      </c>
      <c r="E6" s="4" t="str" cm="1">
        <f t="array" ref="E6">_xlfn.XLOOKUP(A6&amp;B6&amp;$E$1&amp;"DPMB_SOCKET0__COMPUTE"&amp;C6&amp;"__CPU__CORE"&amp;Check!D6&amp;"__ML2_CR_MC3_STATUS"&amp;$B$1,core_mc[VisualId]&amp;core_mc[PPVRun_MC]&amp;core_mc[Lot]&amp;core_mc[TestNameWithoutNumeric],core_mc[TestValue],"")</f>
        <v/>
      </c>
      <c r="F6" s="4">
        <v>2</v>
      </c>
      <c r="G6" s="4" t="str" cm="1">
        <f t="array" ref="G6">_xlfn.XLOOKUP(A6&amp;B6&amp;$E$1&amp;"DPMB_SOCKET0__COMPUTE"&amp;C6&amp;"__UNCORE__CHA__CHA"&amp;Check!F6&amp;"__UTIL__MC_STATUS"&amp;$B$1,cha_mc[VisualId]&amp;cha_mc[PPVRun_MC]&amp;cha_mc[Lot]&amp;cha_mc[TestNameWithoutNumeric],cha_mc[TestValue],"")</f>
        <v/>
      </c>
      <c r="H6" s="4" t="str">
        <f t="shared" si="2"/>
        <v/>
      </c>
      <c r="J6" s="3">
        <v>1</v>
      </c>
      <c r="K6" s="38"/>
      <c r="L6" s="37"/>
      <c r="M6" s="38" t="s">
        <v>147</v>
      </c>
      <c r="N6" s="37"/>
      <c r="O6" s="38"/>
      <c r="P6" s="37"/>
      <c r="Q6" s="38"/>
      <c r="R6" s="37"/>
      <c r="S6" s="38" t="s">
        <v>148</v>
      </c>
      <c r="T6" s="37"/>
      <c r="U6" s="38"/>
      <c r="V6" s="37"/>
      <c r="W6" s="38" t="s">
        <v>149</v>
      </c>
      <c r="X6" s="37"/>
      <c r="Y6" s="38"/>
      <c r="Z6" s="37"/>
      <c r="AA6" s="38" t="s">
        <v>150</v>
      </c>
      <c r="AB6" s="37"/>
      <c r="AC6" s="38"/>
      <c r="AD6" s="37"/>
      <c r="AE6" s="3">
        <v>1</v>
      </c>
      <c r="AG6" s="15"/>
      <c r="AH6" s="15"/>
      <c r="AI6" s="4"/>
      <c r="AK6" s="4" t="str">
        <f t="shared" si="3"/>
        <v/>
      </c>
      <c r="AL6" s="4"/>
      <c r="AM6" s="4" t="str">
        <f t="shared" si="4"/>
        <v/>
      </c>
      <c r="AN6" s="4" t="str">
        <f>IFERROR(_xlfn.XLOOKUP(HEX2DEC(MID(AM6,LEN(AM6)-7,4)),mscod[MSCOD_BY_VAL],mscod[Description],""),"")</f>
        <v/>
      </c>
      <c r="AO6" s="4" t="str" cm="1">
        <f t="array" ref="AO6">_xlfn.XLOOKUP($K$1&amp;$Q$1&amp;"DPMB_SOCKET0__COMPUTE"&amp;AK6&amp;"__UNCORE__CHA__CHA"&amp;AL6&amp;"__UTIL__MC_ADDR"&amp;$B$1,cha_mc[VisualId]&amp;cha_mc[UnitTestingSeqKey]&amp;cha_mc[TestName],cha_mc[TestValue],"")</f>
        <v/>
      </c>
      <c r="AP6" s="4" t="str" cm="1">
        <f t="array" ref="AP6">_xlfn.XLOOKUP($K$1&amp;$Q$1&amp;"DPMB_SOCKET0__COMPUTE"&amp;AK6&amp;"__UNCORE__CHA__CHA"&amp;AL6&amp;"__UTIL__MC_MISC"&amp;$B$1,cha_mc[VisualId]&amp;cha_mc[UnitTestingSeqKey]&amp;cha_mc[TestName],cha_mc[TestValue],"")</f>
        <v/>
      </c>
      <c r="AQ6" s="30"/>
      <c r="AR6" s="30"/>
      <c r="AS6" s="30"/>
      <c r="AT6" s="30"/>
      <c r="AU6" s="30"/>
      <c r="AV6" s="4" t="str" cm="1">
        <f t="array" ref="AV6">_xlfn.XLOOKUP($K$1&amp;$Q$1&amp;"DPMB_SOCKET0__COMPUTE"&amp;AK6&amp;"__UNCORE__CHA__CHA"&amp;AL6&amp;"__UTIL__MC_MISC3"&amp;$B$1,cha_mc[VisualId]&amp;cha_mc[UnitTestingSeqKey]&amp;cha_mc[TestName],cha_mc[TestValue],"")</f>
        <v/>
      </c>
      <c r="AW6" s="30"/>
      <c r="AX6" s="30"/>
      <c r="AY6" s="30"/>
      <c r="AZ6" s="30"/>
      <c r="BA6" s="30"/>
    </row>
    <row r="7" spans="1:53" x14ac:dyDescent="0.3">
      <c r="A7" s="4" t="str">
        <f t="shared" si="0"/>
        <v>74X97M1000031</v>
      </c>
      <c r="B7" s="4" t="str">
        <f t="shared" si="1"/>
        <v>1-1</v>
      </c>
      <c r="C7" s="4">
        <v>0</v>
      </c>
      <c r="D7" s="4">
        <v>3</v>
      </c>
      <c r="E7" s="4" t="str" cm="1">
        <f t="array" ref="E7">_xlfn.XLOOKUP(A7&amp;B7&amp;$E$1&amp;"DPMB_SOCKET0__COMPUTE"&amp;C7&amp;"__CPU__CORE"&amp;Check!D7&amp;"__ML2_CR_MC3_STATUS"&amp;$B$1,core_mc[VisualId]&amp;core_mc[PPVRun_MC]&amp;core_mc[Lot]&amp;core_mc[TestNameWithoutNumeric],core_mc[TestValue],"")</f>
        <v/>
      </c>
      <c r="F7" s="4">
        <v>3</v>
      </c>
      <c r="G7" s="4" t="str" cm="1">
        <f t="array" ref="G7">_xlfn.XLOOKUP(A7&amp;B7&amp;$E$1&amp;"DPMB_SOCKET0__COMPUTE"&amp;C7&amp;"__UNCORE__CHA__CHA"&amp;Check!F7&amp;"__UTIL__MC_STATUS"&amp;$B$1,cha_mc[VisualId]&amp;cha_mc[PPVRun_MC]&amp;cha_mc[Lot]&amp;cha_mc[TestNameWithoutNumeric],cha_mc[TestValue],"")</f>
        <v/>
      </c>
      <c r="H7" s="4" t="str">
        <f t="shared" si="2"/>
        <v/>
      </c>
      <c r="J7" s="3">
        <v>2</v>
      </c>
      <c r="K7" s="38"/>
      <c r="L7" s="37"/>
      <c r="M7" s="38"/>
      <c r="N7" s="37"/>
      <c r="O7" s="38"/>
      <c r="P7" s="37"/>
      <c r="Q7" s="38"/>
      <c r="R7" s="37"/>
      <c r="S7" s="38"/>
      <c r="T7" s="37"/>
      <c r="U7" s="38"/>
      <c r="V7" s="37"/>
      <c r="W7" s="38"/>
      <c r="X7" s="37"/>
      <c r="Y7" s="38"/>
      <c r="Z7" s="37"/>
      <c r="AA7" s="38"/>
      <c r="AB7" s="37"/>
      <c r="AC7" s="38"/>
      <c r="AD7" s="37"/>
      <c r="AE7" s="3">
        <v>2</v>
      </c>
      <c r="AG7" s="15"/>
      <c r="AH7" s="15"/>
      <c r="AI7" s="4"/>
      <c r="AK7" s="4" t="str">
        <f t="shared" si="3"/>
        <v/>
      </c>
      <c r="AL7" s="4"/>
      <c r="AM7" s="4" t="str">
        <f t="shared" si="4"/>
        <v/>
      </c>
      <c r="AN7" s="4" t="str">
        <f>IFERROR(_xlfn.XLOOKUP(HEX2DEC(MID(AM7,LEN(AM7)-7,4)),mscod[MSCOD_BY_VAL],mscod[Description],""),"")</f>
        <v/>
      </c>
      <c r="AO7" s="4" t="str" cm="1">
        <f t="array" ref="AO7">_xlfn.XLOOKUP($K$1&amp;$Q$1&amp;"DPMB_SOCKET0__COMPUTE"&amp;AK7&amp;"__UNCORE__CHA__CHA"&amp;AL7&amp;"__UTIL__MC_ADDR"&amp;$B$1,cha_mc[VisualId]&amp;cha_mc[UnitTestingSeqKey]&amp;cha_mc[TestName],cha_mc[TestValue],"")</f>
        <v/>
      </c>
      <c r="AP7" s="4" t="str" cm="1">
        <f t="array" ref="AP7">_xlfn.XLOOKUP($K$1&amp;$Q$1&amp;"DPMB_SOCKET0__COMPUTE"&amp;AK7&amp;"__UNCORE__CHA__CHA"&amp;AL7&amp;"__UTIL__MC_MISC"&amp;$B$1,cha_mc[VisualId]&amp;cha_mc[UnitTestingSeqKey]&amp;cha_mc[TestName],cha_mc[TestValue],"")</f>
        <v/>
      </c>
      <c r="AQ7" s="30"/>
      <c r="AR7" s="30"/>
      <c r="AS7" s="30"/>
      <c r="AT7" s="30"/>
      <c r="AU7" s="30"/>
      <c r="AV7" s="4" t="str" cm="1">
        <f t="array" ref="AV7">_xlfn.XLOOKUP($K$1&amp;$Q$1&amp;"DPMB_SOCKET0__COMPUTE"&amp;AK7&amp;"__UNCORE__CHA__CHA"&amp;AL7&amp;"__UTIL__MC_MISC3"&amp;$B$1,cha_mc[VisualId]&amp;cha_mc[UnitTestingSeqKey]&amp;cha_mc[TestName],cha_mc[TestValue],"")</f>
        <v/>
      </c>
      <c r="AW7" s="30"/>
      <c r="AX7" s="30"/>
      <c r="AY7" s="30"/>
      <c r="AZ7" s="30"/>
      <c r="BA7" s="30"/>
    </row>
    <row r="8" spans="1:53" x14ac:dyDescent="0.3">
      <c r="A8" s="4" t="str">
        <f t="shared" si="0"/>
        <v>74X97M1000031</v>
      </c>
      <c r="B8" s="4" t="str">
        <f t="shared" si="1"/>
        <v>1-1</v>
      </c>
      <c r="C8" s="4">
        <v>0</v>
      </c>
      <c r="D8" s="4">
        <v>4</v>
      </c>
      <c r="E8" s="4" t="str" cm="1">
        <f t="array" ref="E8">_xlfn.XLOOKUP(A8&amp;B8&amp;$E$1&amp;"DPMB_SOCKET0__COMPUTE"&amp;C8&amp;"__CPU__CORE"&amp;Check!D8&amp;"__ML2_CR_MC3_STATUS"&amp;$B$1,core_mc[VisualId]&amp;core_mc[PPVRun_MC]&amp;core_mc[Lot]&amp;core_mc[TestNameWithoutNumeric],core_mc[TestValue],"")</f>
        <v/>
      </c>
      <c r="F8" s="4">
        <v>4</v>
      </c>
      <c r="G8" s="4" t="str" cm="1">
        <f t="array" ref="G8">_xlfn.XLOOKUP(A8&amp;B8&amp;$E$1&amp;"DPMB_SOCKET0__COMPUTE"&amp;C8&amp;"__UNCORE__CHA__CHA"&amp;Check!F8&amp;"__UTIL__MC_STATUS"&amp;$B$1,cha_mc[VisualId]&amp;cha_mc[PPVRun_MC]&amp;cha_mc[Lot]&amp;cha_mc[TestNameWithoutNumeric],cha_mc[TestValue],"")</f>
        <v/>
      </c>
      <c r="H8" s="4" t="str">
        <f t="shared" si="2"/>
        <v/>
      </c>
      <c r="J8" s="1" t="s">
        <v>141</v>
      </c>
      <c r="K8" s="44" t="s">
        <v>151</v>
      </c>
      <c r="L8" s="37"/>
      <c r="M8" s="44" t="s">
        <v>151</v>
      </c>
      <c r="N8" s="37"/>
      <c r="O8" s="44" t="s">
        <v>151</v>
      </c>
      <c r="P8" s="37"/>
      <c r="Q8" s="44" t="s">
        <v>151</v>
      </c>
      <c r="R8" s="37"/>
      <c r="S8" s="44" t="s">
        <v>151</v>
      </c>
      <c r="T8" s="37"/>
      <c r="U8" s="44" t="s">
        <v>151</v>
      </c>
      <c r="V8" s="37"/>
      <c r="W8" s="44" t="s">
        <v>151</v>
      </c>
      <c r="X8" s="37"/>
      <c r="Y8" s="44" t="s">
        <v>151</v>
      </c>
      <c r="Z8" s="37"/>
      <c r="AA8" s="44" t="s">
        <v>151</v>
      </c>
      <c r="AB8" s="37"/>
      <c r="AC8" s="44" t="s">
        <v>151</v>
      </c>
      <c r="AD8" s="37"/>
      <c r="AE8" s="1" t="s">
        <v>141</v>
      </c>
      <c r="AG8" s="15"/>
      <c r="AH8" s="15"/>
      <c r="AI8" s="4"/>
      <c r="AK8" s="4" t="str">
        <f t="shared" si="3"/>
        <v/>
      </c>
      <c r="AL8" s="4"/>
      <c r="AM8" s="4" t="str">
        <f t="shared" si="4"/>
        <v/>
      </c>
      <c r="AN8" s="4" t="str">
        <f>IFERROR(_xlfn.XLOOKUP(HEX2DEC(MID(AM8,LEN(AM8)-7,4)),mscod[MSCOD_BY_VAL],mscod[Description],""),"")</f>
        <v/>
      </c>
      <c r="AO8" s="4" t="str" cm="1">
        <f t="array" ref="AO8">_xlfn.XLOOKUP($K$1&amp;$Q$1&amp;"DPMB_SOCKET0__COMPUTE"&amp;AK8&amp;"__UNCORE__CHA__CHA"&amp;AL8&amp;"__UTIL__MC_ADDR"&amp;$B$1,cha_mc[VisualId]&amp;cha_mc[UnitTestingSeqKey]&amp;cha_mc[TestName],cha_mc[TestValue],"")</f>
        <v/>
      </c>
      <c r="AP8" s="4" t="str" cm="1">
        <f t="array" ref="AP8">_xlfn.XLOOKUP($K$1&amp;$Q$1&amp;"DPMB_SOCKET0__COMPUTE"&amp;AK8&amp;"__UNCORE__CHA__CHA"&amp;AL8&amp;"__UTIL__MC_MISC"&amp;$B$1,cha_mc[VisualId]&amp;cha_mc[UnitTestingSeqKey]&amp;cha_mc[TestName],cha_mc[TestValue],"")</f>
        <v/>
      </c>
      <c r="AQ8" s="30"/>
      <c r="AR8" s="30"/>
      <c r="AS8" s="30"/>
      <c r="AT8" s="30"/>
      <c r="AU8" s="30"/>
      <c r="AV8" s="4" t="str" cm="1">
        <f t="array" ref="AV8">_xlfn.XLOOKUP($K$1&amp;$Q$1&amp;"DPMB_SOCKET0__COMPUTE"&amp;AK8&amp;"__UNCORE__CHA__CHA"&amp;AL8&amp;"__UTIL__MC_MISC3"&amp;$B$1,cha_mc[VisualId]&amp;cha_mc[UnitTestingSeqKey]&amp;cha_mc[TestName],cha_mc[TestValue],"")</f>
        <v/>
      </c>
      <c r="AW8" s="30"/>
      <c r="AX8" s="30"/>
      <c r="AY8" s="30"/>
      <c r="AZ8" s="30"/>
      <c r="BA8" s="30"/>
    </row>
    <row r="9" spans="1:53" x14ac:dyDescent="0.3">
      <c r="A9" s="4" t="str">
        <f t="shared" si="0"/>
        <v>74X97M1000031</v>
      </c>
      <c r="B9" s="4" t="str">
        <f t="shared" si="1"/>
        <v>1-1</v>
      </c>
      <c r="C9" s="4">
        <v>0</v>
      </c>
      <c r="D9" s="4">
        <v>5</v>
      </c>
      <c r="E9" s="4" t="str" cm="1">
        <f t="array" ref="E9">_xlfn.XLOOKUP(A9&amp;B9&amp;$E$1&amp;"DPMB_SOCKET0__COMPUTE"&amp;C9&amp;"__CPU__CORE"&amp;Check!D9&amp;"__ML2_CR_MC3_STATUS"&amp;$B$1,core_mc[VisualId]&amp;core_mc[PPVRun_MC]&amp;core_mc[Lot]&amp;core_mc[TestNameWithoutNumeric],core_mc[TestValue],"")</f>
        <v/>
      </c>
      <c r="F9" s="4">
        <v>5</v>
      </c>
      <c r="G9" s="4" t="str" cm="1">
        <f t="array" ref="G9">_xlfn.XLOOKUP(A9&amp;B9&amp;$E$1&amp;"DPMB_SOCKET0__COMPUTE"&amp;C9&amp;"__UNCORE__CHA__CHA"&amp;Check!F9&amp;"__UTIL__MC_STATUS"&amp;$B$1,cha_mc[VisualId]&amp;cha_mc[PPVRun_MC]&amp;cha_mc[Lot]&amp;cha_mc[TestNameWithoutNumeric],cha_mc[TestValue],"")</f>
        <v/>
      </c>
      <c r="H9" s="4" t="str">
        <f t="shared" si="2"/>
        <v/>
      </c>
      <c r="J9" s="45"/>
      <c r="K9" s="46"/>
      <c r="L9" s="46"/>
      <c r="M9" s="46"/>
      <c r="N9" s="46"/>
      <c r="O9" s="46"/>
      <c r="P9" s="46"/>
      <c r="Q9" s="46"/>
      <c r="R9" s="46"/>
      <c r="S9" s="46"/>
      <c r="T9" s="46"/>
      <c r="U9" s="46"/>
      <c r="V9" s="46"/>
      <c r="W9" s="46"/>
      <c r="X9" s="46"/>
      <c r="Y9" s="46"/>
      <c r="Z9" s="46"/>
      <c r="AA9" s="46"/>
      <c r="AB9" s="46"/>
      <c r="AC9" s="46"/>
      <c r="AD9" s="46"/>
      <c r="AE9" s="37"/>
      <c r="AG9" s="15"/>
      <c r="AH9" s="15"/>
      <c r="AI9" s="4"/>
      <c r="AK9" s="4" t="str">
        <f t="shared" si="3"/>
        <v/>
      </c>
      <c r="AL9" s="4"/>
      <c r="AM9" s="4" t="str">
        <f t="shared" si="4"/>
        <v/>
      </c>
      <c r="AN9" s="4" t="str">
        <f>IFERROR(_xlfn.XLOOKUP(HEX2DEC(MID(AM9,LEN(AM9)-7,4)),mscod[MSCOD_BY_VAL],mscod[Description],""),"")</f>
        <v/>
      </c>
      <c r="AO9" s="4" t="str" cm="1">
        <f t="array" ref="AO9">_xlfn.XLOOKUP($K$1&amp;$Q$1&amp;"DPMB_SOCKET0__COMPUTE"&amp;AK9&amp;"__UNCORE__CHA__CHA"&amp;AL9&amp;"__UTIL__MC_ADDR"&amp;$B$1,cha_mc[VisualId]&amp;cha_mc[UnitTestingSeqKey]&amp;cha_mc[TestName],cha_mc[TestValue],"")</f>
        <v/>
      </c>
      <c r="AP9" s="4" t="str" cm="1">
        <f t="array" ref="AP9">_xlfn.XLOOKUP($K$1&amp;$Q$1&amp;"DPMB_SOCKET0__COMPUTE"&amp;AK9&amp;"__UNCORE__CHA__CHA"&amp;AL9&amp;"__UTIL__MC_MISC"&amp;$B$1,cha_mc[VisualId]&amp;cha_mc[UnitTestingSeqKey]&amp;cha_mc[TestName],cha_mc[TestValue],"")</f>
        <v/>
      </c>
      <c r="AQ9" s="30"/>
      <c r="AR9" s="30"/>
      <c r="AS9" s="30"/>
      <c r="AT9" s="30"/>
      <c r="AU9" s="30"/>
      <c r="AV9" s="4" t="str" cm="1">
        <f t="array" ref="AV9">_xlfn.XLOOKUP($K$1&amp;$Q$1&amp;"DPMB_SOCKET0__COMPUTE"&amp;AK9&amp;"__UNCORE__CHA__CHA"&amp;AL9&amp;"__UTIL__MC_MISC3"&amp;$B$1,cha_mc[VisualId]&amp;cha_mc[UnitTestingSeqKey]&amp;cha_mc[TestName],cha_mc[TestValue],"")</f>
        <v/>
      </c>
      <c r="AW9" s="30"/>
      <c r="AX9" s="30"/>
      <c r="AY9" s="30"/>
      <c r="AZ9" s="30"/>
      <c r="BA9" s="30"/>
    </row>
    <row r="10" spans="1:53" x14ac:dyDescent="0.3">
      <c r="A10" s="4" t="str">
        <f t="shared" si="0"/>
        <v>74X97M1000031</v>
      </c>
      <c r="B10" s="4" t="str">
        <f t="shared" si="1"/>
        <v>1-1</v>
      </c>
      <c r="C10" s="4">
        <v>0</v>
      </c>
      <c r="D10" s="4">
        <v>6</v>
      </c>
      <c r="E10" s="4" t="str" cm="1">
        <f t="array" ref="E10">_xlfn.XLOOKUP(A10&amp;B10&amp;$E$1&amp;"DPMB_SOCKET0__COMPUTE"&amp;C10&amp;"__CPU__CORE"&amp;Check!D10&amp;"__ML2_CR_MC3_STATUS"&amp;$B$1,core_mc[VisualId]&amp;core_mc[PPVRun_MC]&amp;core_mc[Lot]&amp;core_mc[TestNameWithoutNumeric],core_mc[TestValue],"")</f>
        <v/>
      </c>
      <c r="F10" s="4">
        <v>6</v>
      </c>
      <c r="G10" s="4" t="str" cm="1">
        <f t="array" ref="G10">_xlfn.XLOOKUP(A10&amp;B10&amp;$E$1&amp;"DPMB_SOCKET0__COMPUTE"&amp;C10&amp;"__UNCORE__CHA__CHA"&amp;Check!F10&amp;"__UTIL__MC_STATUS"&amp;$B$1,cha_mc[VisualId]&amp;cha_mc[PPVRun_MC]&amp;cha_mc[Lot]&amp;cha_mc[TestNameWithoutNumeric],cha_mc[TestValue],"")</f>
        <v/>
      </c>
      <c r="H10" s="4" t="str">
        <f t="shared" si="2"/>
        <v/>
      </c>
      <c r="J10" s="1" t="s">
        <v>152</v>
      </c>
      <c r="K10" s="44" t="s">
        <v>151</v>
      </c>
      <c r="L10" s="37"/>
      <c r="M10" s="44" t="s">
        <v>151</v>
      </c>
      <c r="N10" s="37"/>
      <c r="O10" s="44" t="s">
        <v>151</v>
      </c>
      <c r="P10" s="37"/>
      <c r="Q10" s="44" t="s">
        <v>151</v>
      </c>
      <c r="R10" s="37"/>
      <c r="S10" s="44" t="s">
        <v>151</v>
      </c>
      <c r="T10" s="37"/>
      <c r="U10" s="44" t="s">
        <v>151</v>
      </c>
      <c r="V10" s="37"/>
      <c r="W10" s="44" t="s">
        <v>151</v>
      </c>
      <c r="X10" s="37"/>
      <c r="Y10" s="44" t="s">
        <v>151</v>
      </c>
      <c r="Z10" s="37"/>
      <c r="AA10" s="44" t="s">
        <v>151</v>
      </c>
      <c r="AB10" s="37"/>
      <c r="AC10" s="44" t="s">
        <v>151</v>
      </c>
      <c r="AD10" s="37"/>
      <c r="AE10" s="1" t="s">
        <v>152</v>
      </c>
      <c r="AG10" s="15"/>
      <c r="AH10" s="15"/>
      <c r="AI10" s="4"/>
      <c r="AK10" s="4" t="str">
        <f t="shared" si="3"/>
        <v/>
      </c>
      <c r="AL10" s="4"/>
      <c r="AM10" s="4" t="str">
        <f t="shared" si="4"/>
        <v/>
      </c>
      <c r="AN10" s="4" t="str">
        <f>IFERROR(_xlfn.XLOOKUP(HEX2DEC(MID(AM10,LEN(AM10)-7,4)),mscod[MSCOD_BY_VAL],mscod[Description],""),"")</f>
        <v/>
      </c>
      <c r="AO10" s="4" t="str" cm="1">
        <f t="array" ref="AO10">_xlfn.XLOOKUP($K$1&amp;$Q$1&amp;"DPMB_SOCKET0__COMPUTE"&amp;AK10&amp;"__UNCORE__CHA__CHA"&amp;AL10&amp;"__UTIL__MC_ADDR"&amp;$B$1,cha_mc[VisualId]&amp;cha_mc[UnitTestingSeqKey]&amp;cha_mc[TestName],cha_mc[TestValue],"")</f>
        <v/>
      </c>
      <c r="AP10" s="4" t="str" cm="1">
        <f t="array" ref="AP10">_xlfn.XLOOKUP($K$1&amp;$Q$1&amp;"DPMB_SOCKET0__COMPUTE"&amp;AK10&amp;"__UNCORE__CHA__CHA"&amp;AL10&amp;"__UTIL__MC_MISC"&amp;$B$1,cha_mc[VisualId]&amp;cha_mc[UnitTestingSeqKey]&amp;cha_mc[TestName],cha_mc[TestValue],"")</f>
        <v/>
      </c>
      <c r="AQ10" s="30"/>
      <c r="AR10" s="30"/>
      <c r="AS10" s="30"/>
      <c r="AT10" s="30"/>
      <c r="AU10" s="30"/>
      <c r="AV10" s="4" t="str" cm="1">
        <f t="array" ref="AV10">_xlfn.XLOOKUP($K$1&amp;$Q$1&amp;"DPMB_SOCKET0__COMPUTE"&amp;AK10&amp;"__UNCORE__CHA__CHA"&amp;AL10&amp;"__UTIL__MC_MISC3"&amp;$B$1,cha_mc[VisualId]&amp;cha_mc[UnitTestingSeqKey]&amp;cha_mc[TestName],cha_mc[TestValue],"")</f>
        <v/>
      </c>
      <c r="AW10" s="30"/>
      <c r="AX10" s="30"/>
      <c r="AY10" s="30"/>
      <c r="AZ10" s="30"/>
      <c r="BA10" s="30"/>
    </row>
    <row r="11" spans="1:53" ht="14.4" customHeight="1" x14ac:dyDescent="0.3">
      <c r="A11" s="4" t="str">
        <f t="shared" si="0"/>
        <v>74X97M1000031</v>
      </c>
      <c r="B11" s="4" t="str">
        <f t="shared" si="1"/>
        <v>1-1</v>
      </c>
      <c r="C11" s="4">
        <v>0</v>
      </c>
      <c r="D11" s="4">
        <v>7</v>
      </c>
      <c r="E11" s="4" t="str" cm="1">
        <f t="array" ref="E11">_xlfn.XLOOKUP(A11&amp;B11&amp;$E$1&amp;"DPMB_SOCKET0__COMPUTE"&amp;C11&amp;"__CPU__CORE"&amp;Check!D11&amp;"__ML2_CR_MC3_STATUS"&amp;$B$1,core_mc[VisualId]&amp;core_mc[PPVRun_MC]&amp;core_mc[Lot]&amp;core_mc[TestNameWithoutNumeric],core_mc[TestValue],"")</f>
        <v/>
      </c>
      <c r="F11" s="4">
        <v>7</v>
      </c>
      <c r="G11" s="4" t="str" cm="1">
        <f t="array" ref="G11">_xlfn.XLOOKUP(A11&amp;B11&amp;$E$1&amp;"DPMB_SOCKET0__COMPUTE"&amp;C11&amp;"__UNCORE__CHA__CHA"&amp;Check!F11&amp;"__UTIL__MC_STATUS"&amp;$B$1,cha_mc[VisualId]&amp;cha_mc[PPVRun_MC]&amp;cha_mc[Lot]&amp;cha_mc[TestNameWithoutNumeric],cha_mc[TestValue],"")</f>
        <v/>
      </c>
      <c r="H11" s="4" t="str">
        <f t="shared" si="2"/>
        <v/>
      </c>
      <c r="J11" s="36">
        <v>1</v>
      </c>
      <c r="K11" s="52">
        <v>0</v>
      </c>
      <c r="L11" s="5" t="str">
        <f>"CORE"&amp;K11</f>
        <v>CORE0</v>
      </c>
      <c r="M11" s="52">
        <f>K13+1</f>
        <v>2</v>
      </c>
      <c r="N11" s="5" t="str">
        <f>"CORE"&amp;M11</f>
        <v>CORE2</v>
      </c>
      <c r="O11" s="52">
        <f>M23+1</f>
        <v>9</v>
      </c>
      <c r="P11" s="5" t="str">
        <f>"CORE"&amp;O11</f>
        <v>CORE9</v>
      </c>
      <c r="Q11" s="52">
        <f>O23+1</f>
        <v>16</v>
      </c>
      <c r="R11" s="5" t="str">
        <f>"CORE"&amp;Q11</f>
        <v>CORE16</v>
      </c>
      <c r="S11" s="52">
        <f>Q23+1</f>
        <v>23</v>
      </c>
      <c r="T11" s="5" t="str">
        <f>"CORE"&amp;S11</f>
        <v>CORE23</v>
      </c>
      <c r="U11" s="52">
        <f>S23+1</f>
        <v>30</v>
      </c>
      <c r="V11" s="5" t="str">
        <f>"CORE"&amp;U11</f>
        <v>CORE30</v>
      </c>
      <c r="W11" s="52">
        <f>U23+1</f>
        <v>37</v>
      </c>
      <c r="X11" s="5" t="str">
        <f>"CORE"&amp;W11</f>
        <v>CORE37</v>
      </c>
      <c r="Y11" s="52">
        <f>W23+1</f>
        <v>44</v>
      </c>
      <c r="Z11" s="5" t="str">
        <f>"CORE"&amp;Y11</f>
        <v>CORE44</v>
      </c>
      <c r="AA11" s="52">
        <f>Y23+1</f>
        <v>51</v>
      </c>
      <c r="AB11" s="5" t="str">
        <f>"CORE"&amp;AA11</f>
        <v>CORE51</v>
      </c>
      <c r="AC11" s="52">
        <f>AA23+1</f>
        <v>58</v>
      </c>
      <c r="AD11" s="5" t="str">
        <f>"CORE"&amp;AC11</f>
        <v>CORE58</v>
      </c>
      <c r="AE11" s="36">
        <v>1</v>
      </c>
      <c r="AG11" s="15"/>
      <c r="AH11" s="15"/>
      <c r="AI11" s="4"/>
      <c r="AK11" s="4" t="str">
        <f t="shared" si="3"/>
        <v/>
      </c>
      <c r="AL11" s="4"/>
      <c r="AM11" s="4" t="str">
        <f t="shared" si="4"/>
        <v/>
      </c>
      <c r="AN11" s="4" t="str">
        <f>IFERROR(_xlfn.XLOOKUP(HEX2DEC(MID(AM11,LEN(AM11)-7,4)),mscod[MSCOD_BY_VAL],mscod[Description],""),"")</f>
        <v/>
      </c>
      <c r="AO11" s="4" t="str" cm="1">
        <f t="array" ref="AO11">_xlfn.XLOOKUP($K$1&amp;$Q$1&amp;"DPMB_SOCKET0__COMPUTE"&amp;AK11&amp;"__UNCORE__CHA__CHA"&amp;AL11&amp;"__UTIL__MC_ADDR"&amp;$B$1,cha_mc[VisualId]&amp;cha_mc[UnitTestingSeqKey]&amp;cha_mc[TestName],cha_mc[TestValue],"")</f>
        <v/>
      </c>
      <c r="AP11" s="4" t="str" cm="1">
        <f t="array" ref="AP11">_xlfn.XLOOKUP($K$1&amp;$Q$1&amp;"DPMB_SOCKET0__COMPUTE"&amp;AK11&amp;"__UNCORE__CHA__CHA"&amp;AL11&amp;"__UTIL__MC_MISC"&amp;$B$1,cha_mc[VisualId]&amp;cha_mc[UnitTestingSeqKey]&amp;cha_mc[TestName],cha_mc[TestValue],"")</f>
        <v/>
      </c>
      <c r="AQ11" s="30"/>
      <c r="AR11" s="30"/>
      <c r="AS11" s="30"/>
      <c r="AT11" s="30"/>
      <c r="AU11" s="30"/>
      <c r="AV11" s="4" t="str" cm="1">
        <f t="array" ref="AV11">_xlfn.XLOOKUP($K$1&amp;$Q$1&amp;"DPMB_SOCKET0__COMPUTE"&amp;AK11&amp;"__UNCORE__CHA__CHA"&amp;AL11&amp;"__UTIL__MC_MISC3"&amp;$B$1,cha_mc[VisualId]&amp;cha_mc[UnitTestingSeqKey]&amp;cha_mc[TestName],cha_mc[TestValue],"")</f>
        <v/>
      </c>
      <c r="AW11" s="30"/>
      <c r="AX11" s="30"/>
      <c r="AY11" s="30"/>
      <c r="AZ11" s="30"/>
      <c r="BA11" s="30"/>
    </row>
    <row r="12" spans="1:53" ht="14.4" customHeight="1" x14ac:dyDescent="0.3">
      <c r="A12" s="4" t="str">
        <f t="shared" si="0"/>
        <v>74X97M1000031</v>
      </c>
      <c r="B12" s="4" t="str">
        <f t="shared" si="1"/>
        <v>1-1</v>
      </c>
      <c r="C12" s="4">
        <v>0</v>
      </c>
      <c r="D12" s="4">
        <v>8</v>
      </c>
      <c r="E12" s="4" t="str" cm="1">
        <f t="array" ref="E12">_xlfn.XLOOKUP(A12&amp;B12&amp;$E$1&amp;"DPMB_SOCKET0__COMPUTE"&amp;C12&amp;"__CPU__CORE"&amp;Check!D12&amp;"__ML2_CR_MC3_STATUS"&amp;$B$1,core_mc[VisualId]&amp;core_mc[PPVRun_MC]&amp;core_mc[Lot]&amp;core_mc[TestNameWithoutNumeric],core_mc[TestValue],"")</f>
        <v/>
      </c>
      <c r="F12" s="4">
        <v>8</v>
      </c>
      <c r="G12" s="4" t="str" cm="1">
        <f t="array" ref="G12">_xlfn.XLOOKUP(A12&amp;B12&amp;$E$1&amp;"DPMB_SOCKET0__COMPUTE"&amp;C12&amp;"__UNCORE__CHA__CHA"&amp;Check!F12&amp;"__UTIL__MC_STATUS"&amp;$B$1,cha_mc[VisualId]&amp;cha_mc[PPVRun_MC]&amp;cha_mc[Lot]&amp;cha_mc[TestNameWithoutNumeric],cha_mc[TestValue],"")</f>
        <v/>
      </c>
      <c r="H12" s="4" t="str">
        <f t="shared" si="2"/>
        <v/>
      </c>
      <c r="J12" s="51"/>
      <c r="K12" s="51"/>
      <c r="L12" s="5" t="str">
        <f>"CHA"&amp;K11</f>
        <v>CHA0</v>
      </c>
      <c r="M12" s="51"/>
      <c r="N12" s="5" t="str">
        <f>"CHA"&amp;M11</f>
        <v>CHA2</v>
      </c>
      <c r="O12" s="51"/>
      <c r="P12" s="5" t="str">
        <f>"CHA"&amp;O11</f>
        <v>CHA9</v>
      </c>
      <c r="Q12" s="51"/>
      <c r="R12" s="5" t="str">
        <f>"CHA"&amp;Q11</f>
        <v>CHA16</v>
      </c>
      <c r="S12" s="51"/>
      <c r="T12" s="5" t="str">
        <f>"CHA"&amp;S11</f>
        <v>CHA23</v>
      </c>
      <c r="U12" s="51"/>
      <c r="V12" s="5" t="str">
        <f>"CHA"&amp;U11</f>
        <v>CHA30</v>
      </c>
      <c r="W12" s="51"/>
      <c r="X12" s="5" t="str">
        <f>"CHA"&amp;W11</f>
        <v>CHA37</v>
      </c>
      <c r="Y12" s="51"/>
      <c r="Z12" s="5" t="str">
        <f>"CHA"&amp;Y11</f>
        <v>CHA44</v>
      </c>
      <c r="AA12" s="51"/>
      <c r="AB12" s="5" t="str">
        <f>"CHA"&amp;AA11</f>
        <v>CHA51</v>
      </c>
      <c r="AC12" s="51"/>
      <c r="AD12" s="5" t="str">
        <f>"CHA"&amp;AC11</f>
        <v>CHA58</v>
      </c>
      <c r="AE12" s="51"/>
      <c r="AG12" s="15"/>
      <c r="AH12" s="15"/>
      <c r="AI12" s="4"/>
      <c r="AK12" s="4" t="str">
        <f t="shared" si="3"/>
        <v/>
      </c>
      <c r="AL12" s="4"/>
      <c r="AM12" s="4" t="str">
        <f t="shared" si="4"/>
        <v/>
      </c>
      <c r="AN12" s="4" t="str">
        <f>IFERROR(_xlfn.XLOOKUP(HEX2DEC(MID(AM12,LEN(AM12)-7,4)),mscod[MSCOD_BY_VAL],mscod[Description],""),"")</f>
        <v/>
      </c>
      <c r="AO12" s="4" t="str" cm="1">
        <f t="array" ref="AO12">_xlfn.XLOOKUP($K$1&amp;$Q$1&amp;"DPMB_SOCKET0__COMPUTE"&amp;AK12&amp;"__UNCORE__CHA__CHA"&amp;AL12&amp;"__UTIL__MC_ADDR"&amp;$B$1,cha_mc[VisualId]&amp;cha_mc[UnitTestingSeqKey]&amp;cha_mc[TestName],cha_mc[TestValue],"")</f>
        <v/>
      </c>
      <c r="AP12" s="4" t="str" cm="1">
        <f t="array" ref="AP12">_xlfn.XLOOKUP($K$1&amp;$Q$1&amp;"DPMB_SOCKET0__COMPUTE"&amp;AK12&amp;"__UNCORE__CHA__CHA"&amp;AL12&amp;"__UTIL__MC_MISC"&amp;$B$1,cha_mc[VisualId]&amp;cha_mc[UnitTestingSeqKey]&amp;cha_mc[TestName],cha_mc[TestValue],"")</f>
        <v/>
      </c>
      <c r="AQ12" s="30"/>
      <c r="AR12" s="30"/>
      <c r="AS12" s="30"/>
      <c r="AT12" s="30"/>
      <c r="AU12" s="30"/>
      <c r="AV12" s="4" t="str" cm="1">
        <f t="array" ref="AV12">_xlfn.XLOOKUP($K$1&amp;$Q$1&amp;"DPMB_SOCKET0__COMPUTE"&amp;AK12&amp;"__UNCORE__CHA__CHA"&amp;AL12&amp;"__UTIL__MC_MISC3"&amp;$B$1,cha_mc[VisualId]&amp;cha_mc[UnitTestingSeqKey]&amp;cha_mc[TestName],cha_mc[TestValue],"")</f>
        <v/>
      </c>
      <c r="AW12" s="30"/>
      <c r="AX12" s="30"/>
      <c r="AY12" s="30"/>
      <c r="AZ12" s="30"/>
      <c r="BA12" s="30"/>
    </row>
    <row r="13" spans="1:53" ht="15" customHeight="1" x14ac:dyDescent="0.3">
      <c r="A13" s="4" t="str">
        <f t="shared" si="0"/>
        <v>74X97M1000031</v>
      </c>
      <c r="B13" s="4" t="str">
        <f t="shared" si="1"/>
        <v>1-1</v>
      </c>
      <c r="C13" s="4">
        <v>0</v>
      </c>
      <c r="D13" s="4">
        <v>9</v>
      </c>
      <c r="E13" s="4" t="str" cm="1">
        <f t="array" ref="E13">_xlfn.XLOOKUP(A13&amp;B13&amp;$E$1&amp;"DPMB_SOCKET0__COMPUTE"&amp;C13&amp;"__CPU__CORE"&amp;Check!D13&amp;"__ML2_CR_MC3_STATUS"&amp;$B$1,core_mc[VisualId]&amp;core_mc[PPVRun_MC]&amp;core_mc[Lot]&amp;core_mc[TestNameWithoutNumeric],core_mc[TestValue],"")</f>
        <v/>
      </c>
      <c r="F13" s="4">
        <v>9</v>
      </c>
      <c r="G13" s="4" t="str" cm="1">
        <f t="array" ref="G13">_xlfn.XLOOKUP(A13&amp;B13&amp;$E$1&amp;"DPMB_SOCKET0__COMPUTE"&amp;C13&amp;"__UNCORE__CHA__CHA"&amp;Check!F13&amp;"__UTIL__MC_STATUS"&amp;$B$1,cha_mc[VisualId]&amp;cha_mc[PPVRun_MC]&amp;cha_mc[Lot]&amp;cha_mc[TestNameWithoutNumeric],cha_mc[TestValue],"")</f>
        <v/>
      </c>
      <c r="H13" s="4" t="str">
        <f t="shared" si="2"/>
        <v/>
      </c>
      <c r="J13" s="36">
        <v>2</v>
      </c>
      <c r="K13" s="52">
        <v>1</v>
      </c>
      <c r="L13" s="5" t="str">
        <f>"CORE"&amp;K13</f>
        <v>CORE1</v>
      </c>
      <c r="M13" s="52">
        <f>M11+1</f>
        <v>3</v>
      </c>
      <c r="N13" s="5" t="str">
        <f>"CORE"&amp;M13</f>
        <v>CORE3</v>
      </c>
      <c r="O13" s="52">
        <f>O11+1</f>
        <v>10</v>
      </c>
      <c r="P13" s="5" t="str">
        <f>"CORE"&amp;O13</f>
        <v>CORE10</v>
      </c>
      <c r="Q13" s="52">
        <f>Q11+1</f>
        <v>17</v>
      </c>
      <c r="R13" s="5" t="str">
        <f>"CORE"&amp;Q13</f>
        <v>CORE17</v>
      </c>
      <c r="S13" s="52">
        <f>S11+1</f>
        <v>24</v>
      </c>
      <c r="T13" s="5" t="str">
        <f>"CORE"&amp;S13</f>
        <v>CORE24</v>
      </c>
      <c r="U13" s="52">
        <f>U11+1</f>
        <v>31</v>
      </c>
      <c r="V13" s="5" t="str">
        <f>"CORE"&amp;U13</f>
        <v>CORE31</v>
      </c>
      <c r="W13" s="52">
        <f>W11+1</f>
        <v>38</v>
      </c>
      <c r="X13" s="5" t="str">
        <f>"CORE"&amp;W13</f>
        <v>CORE38</v>
      </c>
      <c r="Y13" s="52">
        <f>Y11+1</f>
        <v>45</v>
      </c>
      <c r="Z13" s="5" t="str">
        <f>"CORE"&amp;Y13</f>
        <v>CORE45</v>
      </c>
      <c r="AA13" s="52">
        <f>AA11+1</f>
        <v>52</v>
      </c>
      <c r="AB13" s="5" t="str">
        <f>"CORE"&amp;AA13</f>
        <v>CORE52</v>
      </c>
      <c r="AC13" s="52">
        <f>AC11+1</f>
        <v>59</v>
      </c>
      <c r="AD13" s="5" t="str">
        <f>"CORE"&amp;AC13</f>
        <v>CORE59</v>
      </c>
      <c r="AE13" s="36">
        <v>2</v>
      </c>
      <c r="AG13" s="15"/>
      <c r="AH13" s="15"/>
      <c r="AI13" s="4"/>
      <c r="AK13" s="4" t="str">
        <f t="shared" si="3"/>
        <v/>
      </c>
      <c r="AL13" s="4"/>
      <c r="AM13" s="4" t="str">
        <f t="shared" si="4"/>
        <v/>
      </c>
      <c r="AN13" s="4" t="str">
        <f>IFERROR(_xlfn.XLOOKUP(HEX2DEC(MID(AM13,LEN(AM13)-7,4)),mscod[MSCOD_BY_VAL],mscod[Description],""),"")</f>
        <v/>
      </c>
      <c r="AO13" s="4" t="str" cm="1">
        <f t="array" ref="AO13">_xlfn.XLOOKUP($K$1&amp;$Q$1&amp;"DPMB_SOCKET0__COMPUTE"&amp;AK13&amp;"__UNCORE__CHA__CHA"&amp;AL13&amp;"__UTIL__MC_ADDR"&amp;$B$1,cha_mc[VisualId]&amp;cha_mc[UnitTestingSeqKey]&amp;cha_mc[TestName],cha_mc[TestValue],"")</f>
        <v/>
      </c>
      <c r="AP13" s="4" t="str" cm="1">
        <f t="array" ref="AP13">_xlfn.XLOOKUP($K$1&amp;$Q$1&amp;"DPMB_SOCKET0__COMPUTE"&amp;AK13&amp;"__UNCORE__CHA__CHA"&amp;AL13&amp;"__UTIL__MC_MISC"&amp;$B$1,cha_mc[VisualId]&amp;cha_mc[UnitTestingSeqKey]&amp;cha_mc[TestName],cha_mc[TestValue],"")</f>
        <v/>
      </c>
      <c r="AQ13" s="30"/>
      <c r="AR13" s="30"/>
      <c r="AS13" s="30"/>
      <c r="AT13" s="30"/>
      <c r="AU13" s="30"/>
      <c r="AV13" s="4" t="str" cm="1">
        <f t="array" ref="AV13">_xlfn.XLOOKUP($K$1&amp;$Q$1&amp;"DPMB_SOCKET0__COMPUTE"&amp;AK13&amp;"__UNCORE__CHA__CHA"&amp;AL13&amp;"__UTIL__MC_MISC3"&amp;$B$1,cha_mc[VisualId]&amp;cha_mc[UnitTestingSeqKey]&amp;cha_mc[TestName],cha_mc[TestValue],"")</f>
        <v/>
      </c>
      <c r="AW13" s="30"/>
      <c r="AX13" s="30"/>
      <c r="AY13" s="30"/>
      <c r="AZ13" s="30"/>
      <c r="BA13" s="30"/>
    </row>
    <row r="14" spans="1:53" ht="14.4" customHeight="1" x14ac:dyDescent="0.3">
      <c r="A14" s="4" t="str">
        <f t="shared" si="0"/>
        <v>74X97M1000031</v>
      </c>
      <c r="B14" s="4" t="str">
        <f t="shared" si="1"/>
        <v>1-1</v>
      </c>
      <c r="C14" s="4">
        <v>0</v>
      </c>
      <c r="D14" s="4">
        <v>10</v>
      </c>
      <c r="E14" s="4" t="str" cm="1">
        <f t="array" ref="E14">_xlfn.XLOOKUP(A14&amp;B14&amp;$E$1&amp;"DPMB_SOCKET0__COMPUTE"&amp;C14&amp;"__CPU__CORE"&amp;Check!D14&amp;"__ML2_CR_MC3_STATUS"&amp;$B$1,core_mc[VisualId]&amp;core_mc[PPVRun_MC]&amp;core_mc[Lot]&amp;core_mc[TestNameWithoutNumeric],core_mc[TestValue],"")</f>
        <v/>
      </c>
      <c r="F14" s="4">
        <v>10</v>
      </c>
      <c r="G14" s="4" t="str" cm="1">
        <f t="array" ref="G14">_xlfn.XLOOKUP(A14&amp;B14&amp;$E$1&amp;"DPMB_SOCKET0__COMPUTE"&amp;C14&amp;"__UNCORE__CHA__CHA"&amp;Check!F14&amp;"__UTIL__MC_STATUS"&amp;$B$1,cha_mc[VisualId]&amp;cha_mc[PPVRun_MC]&amp;cha_mc[Lot]&amp;cha_mc[TestNameWithoutNumeric],cha_mc[TestValue],"")</f>
        <v/>
      </c>
      <c r="H14" s="4" t="str">
        <f t="shared" si="2"/>
        <v/>
      </c>
      <c r="J14" s="51"/>
      <c r="K14" s="51"/>
      <c r="L14" s="5" t="str">
        <f>"CHA"&amp;K13</f>
        <v>CHA1</v>
      </c>
      <c r="M14" s="51"/>
      <c r="N14" s="5" t="str">
        <f>"CHA"&amp;M13</f>
        <v>CHA3</v>
      </c>
      <c r="O14" s="51"/>
      <c r="P14" s="5" t="str">
        <f>"CHA"&amp;O13</f>
        <v>CHA10</v>
      </c>
      <c r="Q14" s="51"/>
      <c r="R14" s="5" t="str">
        <f>"CHA"&amp;Q13</f>
        <v>CHA17</v>
      </c>
      <c r="S14" s="51"/>
      <c r="T14" s="5" t="str">
        <f>"CHA"&amp;S13</f>
        <v>CHA24</v>
      </c>
      <c r="U14" s="51"/>
      <c r="V14" s="5" t="str">
        <f>"CHA"&amp;U13</f>
        <v>CHA31</v>
      </c>
      <c r="W14" s="51"/>
      <c r="X14" s="5" t="str">
        <f>"CHA"&amp;W13</f>
        <v>CHA38</v>
      </c>
      <c r="Y14" s="51"/>
      <c r="Z14" s="5" t="str">
        <f>"CHA"&amp;Y13</f>
        <v>CHA45</v>
      </c>
      <c r="AA14" s="51"/>
      <c r="AB14" s="5" t="str">
        <f>"CHA"&amp;AA13</f>
        <v>CHA52</v>
      </c>
      <c r="AC14" s="51"/>
      <c r="AD14" s="5" t="str">
        <f>"CHA"&amp;AC13</f>
        <v>CHA59</v>
      </c>
      <c r="AE14" s="51"/>
      <c r="AG14" s="15"/>
      <c r="AH14" s="15"/>
      <c r="AI14" s="4"/>
      <c r="AK14" s="4" t="str">
        <f t="shared" si="3"/>
        <v/>
      </c>
      <c r="AL14" s="4"/>
      <c r="AM14" s="4" t="str">
        <f t="shared" si="4"/>
        <v/>
      </c>
      <c r="AN14" s="4" t="str">
        <f>IFERROR(_xlfn.XLOOKUP(HEX2DEC(MID(AM14,LEN(AM14)-7,4)),mscod[MSCOD_BY_VAL],mscod[Description],""),"")</f>
        <v/>
      </c>
      <c r="AO14" s="4" t="str" cm="1">
        <f t="array" ref="AO14">_xlfn.XLOOKUP($K$1&amp;$Q$1&amp;"DPMB_SOCKET0__COMPUTE"&amp;AK14&amp;"__UNCORE__CHA__CHA"&amp;AL14&amp;"__UTIL__MC_ADDR"&amp;$B$1,cha_mc[VisualId]&amp;cha_mc[UnitTestingSeqKey]&amp;cha_mc[TestName],cha_mc[TestValue],"")</f>
        <v/>
      </c>
      <c r="AP14" s="4" t="str" cm="1">
        <f t="array" ref="AP14">_xlfn.XLOOKUP($K$1&amp;$Q$1&amp;"DPMB_SOCKET0__COMPUTE"&amp;AK14&amp;"__UNCORE__CHA__CHA"&amp;AL14&amp;"__UTIL__MC_MISC"&amp;$B$1,cha_mc[VisualId]&amp;cha_mc[UnitTestingSeqKey]&amp;cha_mc[TestName],cha_mc[TestValue],"")</f>
        <v/>
      </c>
      <c r="AQ14" s="30"/>
      <c r="AR14" s="30"/>
      <c r="AS14" s="30"/>
      <c r="AT14" s="30"/>
      <c r="AU14" s="30"/>
      <c r="AV14" s="4" t="str" cm="1">
        <f t="array" ref="AV14">_xlfn.XLOOKUP($K$1&amp;$Q$1&amp;"DPMB_SOCKET0__COMPUTE"&amp;AK14&amp;"__UNCORE__CHA__CHA"&amp;AL14&amp;"__UTIL__MC_MISC3"&amp;$B$1,cha_mc[VisualId]&amp;cha_mc[UnitTestingSeqKey]&amp;cha_mc[TestName],cha_mc[TestValue],"")</f>
        <v/>
      </c>
      <c r="AW14" s="30"/>
      <c r="AX14" s="30"/>
      <c r="AY14" s="30"/>
      <c r="AZ14" s="30"/>
      <c r="BA14" s="30"/>
    </row>
    <row r="15" spans="1:53" ht="15" customHeight="1" x14ac:dyDescent="0.3">
      <c r="A15" s="4" t="str">
        <f t="shared" si="0"/>
        <v>74X97M1000031</v>
      </c>
      <c r="B15" s="4" t="str">
        <f t="shared" si="1"/>
        <v>1-1</v>
      </c>
      <c r="C15" s="4">
        <v>0</v>
      </c>
      <c r="D15" s="4">
        <v>11</v>
      </c>
      <c r="E15" s="4" t="str" cm="1">
        <f t="array" ref="E15">_xlfn.XLOOKUP(A15&amp;B15&amp;$E$1&amp;"DPMB_SOCKET0__COMPUTE"&amp;C15&amp;"__CPU__CORE"&amp;Check!D15&amp;"__ML2_CR_MC3_STATUS"&amp;$B$1,core_mc[VisualId]&amp;core_mc[PPVRun_MC]&amp;core_mc[Lot]&amp;core_mc[TestNameWithoutNumeric],core_mc[TestValue],"")</f>
        <v/>
      </c>
      <c r="F15" s="4">
        <v>11</v>
      </c>
      <c r="G15" s="4" t="str" cm="1">
        <f t="array" ref="G15">_xlfn.XLOOKUP(A15&amp;B15&amp;$E$1&amp;"DPMB_SOCKET0__COMPUTE"&amp;C15&amp;"__UNCORE__CHA__CHA"&amp;Check!F15&amp;"__UTIL__MC_STATUS"&amp;$B$1,cha_mc[VisualId]&amp;cha_mc[PPVRun_MC]&amp;cha_mc[Lot]&amp;cha_mc[TestNameWithoutNumeric],cha_mc[TestValue],"")</f>
        <v/>
      </c>
      <c r="H15" s="4" t="str">
        <f t="shared" si="2"/>
        <v/>
      </c>
      <c r="J15" s="36">
        <v>3</v>
      </c>
      <c r="K15" s="53" t="s">
        <v>153</v>
      </c>
      <c r="L15" s="55"/>
      <c r="M15" s="53">
        <f>M13+1</f>
        <v>4</v>
      </c>
      <c r="N15" s="14" t="str">
        <f>"CORE"&amp;M15</f>
        <v>CORE4</v>
      </c>
      <c r="O15" s="53">
        <f>O13+1</f>
        <v>11</v>
      </c>
      <c r="P15" s="14" t="str">
        <f>"CORE"&amp;O15</f>
        <v>CORE11</v>
      </c>
      <c r="Q15" s="53">
        <f>Q13+1</f>
        <v>18</v>
      </c>
      <c r="R15" s="14" t="str">
        <f>"CORE"&amp;Q15</f>
        <v>CORE18</v>
      </c>
      <c r="S15" s="53">
        <f>S13+1</f>
        <v>25</v>
      </c>
      <c r="T15" s="14" t="str">
        <f>"CORE"&amp;S15</f>
        <v>CORE25</v>
      </c>
      <c r="U15" s="53">
        <f>U13+1</f>
        <v>32</v>
      </c>
      <c r="V15" s="14" t="str">
        <f>"CORE"&amp;U15</f>
        <v>CORE32</v>
      </c>
      <c r="W15" s="53">
        <f>W13+1</f>
        <v>39</v>
      </c>
      <c r="X15" s="14" t="str">
        <f>"CORE"&amp;W15</f>
        <v>CORE39</v>
      </c>
      <c r="Y15" s="53">
        <f>Y13+1</f>
        <v>46</v>
      </c>
      <c r="Z15" s="14" t="str">
        <f>"CORE"&amp;Y15</f>
        <v>CORE46</v>
      </c>
      <c r="AA15" s="53">
        <f>AA13+1</f>
        <v>53</v>
      </c>
      <c r="AB15" s="14" t="str">
        <f>"CORE"&amp;AA15</f>
        <v>CORE53</v>
      </c>
      <c r="AC15" s="53" t="s">
        <v>154</v>
      </c>
      <c r="AD15" s="55"/>
      <c r="AE15" s="36">
        <v>3</v>
      </c>
      <c r="AG15" s="15"/>
      <c r="AH15" s="15"/>
      <c r="AI15" s="4"/>
      <c r="AK15" s="4" t="str">
        <f t="shared" si="3"/>
        <v/>
      </c>
      <c r="AL15" s="4"/>
      <c r="AM15" s="4" t="str">
        <f t="shared" si="4"/>
        <v/>
      </c>
      <c r="AN15" s="4" t="str">
        <f>IFERROR(_xlfn.XLOOKUP(HEX2DEC(MID(AM15,LEN(AM15)-7,4)),mscod[MSCOD_BY_VAL],mscod[Description],""),"")</f>
        <v/>
      </c>
      <c r="AO15" s="4" t="str" cm="1">
        <f t="array" ref="AO15">_xlfn.XLOOKUP($K$1&amp;$Q$1&amp;"DPMB_SOCKET0__COMPUTE"&amp;AK15&amp;"__UNCORE__CHA__CHA"&amp;AL15&amp;"__UTIL__MC_ADDR"&amp;$B$1,cha_mc[VisualId]&amp;cha_mc[UnitTestingSeqKey]&amp;cha_mc[TestName],cha_mc[TestValue],"")</f>
        <v/>
      </c>
      <c r="AP15" s="4" t="str" cm="1">
        <f t="array" ref="AP15">_xlfn.XLOOKUP($K$1&amp;$Q$1&amp;"DPMB_SOCKET0__COMPUTE"&amp;AK15&amp;"__UNCORE__CHA__CHA"&amp;AL15&amp;"__UTIL__MC_MISC"&amp;$B$1,cha_mc[VisualId]&amp;cha_mc[UnitTestingSeqKey]&amp;cha_mc[TestName],cha_mc[TestValue],"")</f>
        <v/>
      </c>
      <c r="AQ15" s="30"/>
      <c r="AR15" s="30"/>
      <c r="AS15" s="30"/>
      <c r="AT15" s="30"/>
      <c r="AU15" s="30"/>
      <c r="AV15" s="4" t="str" cm="1">
        <f t="array" ref="AV15">_xlfn.XLOOKUP($K$1&amp;$Q$1&amp;"DPMB_SOCKET0__COMPUTE"&amp;AK15&amp;"__UNCORE__CHA__CHA"&amp;AL15&amp;"__UTIL__MC_MISC3"&amp;$B$1,cha_mc[VisualId]&amp;cha_mc[UnitTestingSeqKey]&amp;cha_mc[TestName],cha_mc[TestValue],"")</f>
        <v/>
      </c>
      <c r="AW15" s="30"/>
      <c r="AX15" s="30"/>
      <c r="AY15" s="30"/>
      <c r="AZ15" s="30"/>
      <c r="BA15" s="30"/>
    </row>
    <row r="16" spans="1:53" x14ac:dyDescent="0.3">
      <c r="A16" s="4" t="str">
        <f t="shared" si="0"/>
        <v>74X97M1000031</v>
      </c>
      <c r="B16" s="4" t="str">
        <f t="shared" si="1"/>
        <v>1-1</v>
      </c>
      <c r="C16" s="4">
        <v>0</v>
      </c>
      <c r="D16" s="4">
        <v>12</v>
      </c>
      <c r="E16" s="4" t="str" cm="1">
        <f t="array" ref="E16">_xlfn.XLOOKUP(A16&amp;B16&amp;$E$1&amp;"DPMB_SOCKET0__COMPUTE"&amp;C16&amp;"__CPU__CORE"&amp;Check!D16&amp;"__ML2_CR_MC3_STATUS"&amp;$B$1,core_mc[VisualId]&amp;core_mc[PPVRun_MC]&amp;core_mc[Lot]&amp;core_mc[TestNameWithoutNumeric],core_mc[TestValue],"")</f>
        <v/>
      </c>
      <c r="F16" s="4">
        <v>12</v>
      </c>
      <c r="G16" s="4" t="str" cm="1">
        <f t="array" ref="G16">_xlfn.XLOOKUP(A16&amp;B16&amp;$E$1&amp;"DPMB_SOCKET0__COMPUTE"&amp;C16&amp;"__UNCORE__CHA__CHA"&amp;Check!F16&amp;"__UTIL__MC_STATUS"&amp;$B$1,cha_mc[VisualId]&amp;cha_mc[PPVRun_MC]&amp;cha_mc[Lot]&amp;cha_mc[TestNameWithoutNumeric],cha_mc[TestValue],"")</f>
        <v/>
      </c>
      <c r="H16" s="4" t="str">
        <f t="shared" si="2"/>
        <v/>
      </c>
      <c r="J16" s="51"/>
      <c r="K16" s="56"/>
      <c r="L16" s="57"/>
      <c r="M16" s="54"/>
      <c r="N16" s="14" t="str">
        <f>"CHA"&amp;M15</f>
        <v>CHA4</v>
      </c>
      <c r="O16" s="54"/>
      <c r="P16" s="14" t="str">
        <f>"CHA"&amp;O15</f>
        <v>CHA11</v>
      </c>
      <c r="Q16" s="54"/>
      <c r="R16" s="14" t="str">
        <f>"CHA"&amp;Q15</f>
        <v>CHA18</v>
      </c>
      <c r="S16" s="54"/>
      <c r="T16" s="14" t="str">
        <f>"CHA"&amp;S15</f>
        <v>CHA25</v>
      </c>
      <c r="U16" s="54"/>
      <c r="V16" s="14" t="str">
        <f>"CHA"&amp;U15</f>
        <v>CHA32</v>
      </c>
      <c r="W16" s="54"/>
      <c r="X16" s="14" t="str">
        <f>"CHA"&amp;W15</f>
        <v>CHA39</v>
      </c>
      <c r="Y16" s="54"/>
      <c r="Z16" s="14" t="str">
        <f>"CHA"&amp;Y15</f>
        <v>CHA46</v>
      </c>
      <c r="AA16" s="54"/>
      <c r="AB16" s="14" t="str">
        <f>"CHA"&amp;AA15</f>
        <v>CHA53</v>
      </c>
      <c r="AC16" s="56"/>
      <c r="AD16" s="57"/>
      <c r="AE16" s="51"/>
      <c r="AG16" s="15"/>
      <c r="AH16" s="15"/>
      <c r="AI16" s="4"/>
      <c r="AK16" s="4" t="str">
        <f t="shared" si="3"/>
        <v/>
      </c>
      <c r="AL16" s="4"/>
      <c r="AM16" s="4" t="str">
        <f t="shared" si="4"/>
        <v/>
      </c>
      <c r="AN16" s="4" t="str">
        <f>IFERROR(_xlfn.XLOOKUP(HEX2DEC(MID(AM16,LEN(AM16)-7,4)),mscod[MSCOD_BY_VAL],mscod[Description],""),"")</f>
        <v/>
      </c>
      <c r="AO16" s="4" t="str" cm="1">
        <f t="array" ref="AO16">_xlfn.XLOOKUP($K$1&amp;$Q$1&amp;"DPMB_SOCKET0__COMPUTE"&amp;AK16&amp;"__UNCORE__CHA__CHA"&amp;AL16&amp;"__UTIL__MC_ADDR"&amp;$B$1,cha_mc[VisualId]&amp;cha_mc[UnitTestingSeqKey]&amp;cha_mc[TestName],cha_mc[TestValue],"")</f>
        <v/>
      </c>
      <c r="AP16" s="4" t="str" cm="1">
        <f t="array" ref="AP16">_xlfn.XLOOKUP($K$1&amp;$Q$1&amp;"DPMB_SOCKET0__COMPUTE"&amp;AK16&amp;"__UNCORE__CHA__CHA"&amp;AL16&amp;"__UTIL__MC_MISC"&amp;$B$1,cha_mc[VisualId]&amp;cha_mc[UnitTestingSeqKey]&amp;cha_mc[TestName],cha_mc[TestValue],"")</f>
        <v/>
      </c>
      <c r="AQ16" s="30"/>
      <c r="AR16" s="30"/>
      <c r="AS16" s="30"/>
      <c r="AT16" s="30"/>
      <c r="AU16" s="30"/>
      <c r="AV16" s="4" t="str" cm="1">
        <f t="array" ref="AV16">_xlfn.XLOOKUP($K$1&amp;$Q$1&amp;"DPMB_SOCKET0__COMPUTE"&amp;AK16&amp;"__UNCORE__CHA__CHA"&amp;AL16&amp;"__UTIL__MC_MISC3"&amp;$B$1,cha_mc[VisualId]&amp;cha_mc[UnitTestingSeqKey]&amp;cha_mc[TestName],cha_mc[TestValue],"")</f>
        <v/>
      </c>
      <c r="AW16" s="30"/>
      <c r="AX16" s="30"/>
      <c r="AY16" s="30"/>
      <c r="AZ16" s="30"/>
      <c r="BA16" s="30"/>
    </row>
    <row r="17" spans="1:53" x14ac:dyDescent="0.3">
      <c r="A17" s="4" t="str">
        <f t="shared" si="0"/>
        <v>74X97M1000031</v>
      </c>
      <c r="B17" s="4" t="str">
        <f t="shared" si="1"/>
        <v>1-1</v>
      </c>
      <c r="C17" s="4">
        <v>0</v>
      </c>
      <c r="D17" s="4">
        <v>13</v>
      </c>
      <c r="E17" s="4" t="str" cm="1">
        <f t="array" ref="E17">_xlfn.XLOOKUP(A17&amp;B17&amp;$E$1&amp;"DPMB_SOCKET0__COMPUTE"&amp;C17&amp;"__CPU__CORE"&amp;Check!D17&amp;"__ML2_CR_MC3_STATUS"&amp;$B$1,core_mc[VisualId]&amp;core_mc[PPVRun_MC]&amp;core_mc[Lot]&amp;core_mc[TestNameWithoutNumeric],core_mc[TestValue],"")</f>
        <v/>
      </c>
      <c r="F17" s="4">
        <v>13</v>
      </c>
      <c r="G17" s="4" t="str" cm="1">
        <f t="array" ref="G17">_xlfn.XLOOKUP(A17&amp;B17&amp;$E$1&amp;"DPMB_SOCKET0__COMPUTE"&amp;C17&amp;"__UNCORE__CHA__CHA"&amp;Check!F17&amp;"__UTIL__MC_STATUS"&amp;$B$1,cha_mc[VisualId]&amp;cha_mc[PPVRun_MC]&amp;cha_mc[Lot]&amp;cha_mc[TestNameWithoutNumeric],cha_mc[TestValue],"")</f>
        <v/>
      </c>
      <c r="H17" s="4" t="str">
        <f t="shared" si="2"/>
        <v/>
      </c>
      <c r="J17" s="36">
        <v>4</v>
      </c>
      <c r="K17" s="53" t="s">
        <v>155</v>
      </c>
      <c r="L17" s="55"/>
      <c r="M17" s="53">
        <f>M15+1</f>
        <v>5</v>
      </c>
      <c r="N17" s="14" t="str">
        <f>"CORE"&amp;M17</f>
        <v>CORE5</v>
      </c>
      <c r="O17" s="53">
        <f>O15+1</f>
        <v>12</v>
      </c>
      <c r="P17" s="14" t="str">
        <f>"CORE"&amp;O17</f>
        <v>CORE12</v>
      </c>
      <c r="Q17" s="53">
        <f>Q15+1</f>
        <v>19</v>
      </c>
      <c r="R17" s="14" t="str">
        <f>"CORE"&amp;Q17</f>
        <v>CORE19</v>
      </c>
      <c r="S17" s="53">
        <f>S15+1</f>
        <v>26</v>
      </c>
      <c r="T17" s="14" t="str">
        <f>"CORE"&amp;S17</f>
        <v>CORE26</v>
      </c>
      <c r="U17" s="53">
        <f>U15+1</f>
        <v>33</v>
      </c>
      <c r="V17" s="14" t="str">
        <f>"CORE"&amp;U17</f>
        <v>CORE33</v>
      </c>
      <c r="W17" s="53">
        <f>W15+1</f>
        <v>40</v>
      </c>
      <c r="X17" s="14" t="str">
        <f>"CORE"&amp;W17</f>
        <v>CORE40</v>
      </c>
      <c r="Y17" s="53">
        <f>Y15+1</f>
        <v>47</v>
      </c>
      <c r="Z17" s="14" t="str">
        <f>"CORE"&amp;Y17</f>
        <v>CORE47</v>
      </c>
      <c r="AA17" s="53">
        <f>AA15+1</f>
        <v>54</v>
      </c>
      <c r="AB17" s="14" t="str">
        <f>"CORE"&amp;AA17</f>
        <v>CORE54</v>
      </c>
      <c r="AC17" s="53" t="s">
        <v>156</v>
      </c>
      <c r="AD17" s="55"/>
      <c r="AE17" s="36">
        <v>4</v>
      </c>
      <c r="AK17" s="4" t="str">
        <f t="shared" si="3"/>
        <v/>
      </c>
      <c r="AL17" s="4"/>
      <c r="AM17" s="4" t="str">
        <f t="shared" si="4"/>
        <v/>
      </c>
      <c r="AN17" s="4" t="str">
        <f>IFERROR(_xlfn.XLOOKUP(HEX2DEC(MID(AM17,LEN(AM17)-7,4)),mscod[MSCOD_BY_VAL],mscod[Description],""),"")</f>
        <v/>
      </c>
      <c r="AO17" s="4" t="str" cm="1">
        <f t="array" ref="AO17">_xlfn.XLOOKUP($K$1&amp;$Q$1&amp;"DPMB_SOCKET0__COMPUTE"&amp;AK17&amp;"__UNCORE__CHA__CHA"&amp;AL17&amp;"__UTIL__MC_ADDR"&amp;$B$1,cha_mc[VisualId]&amp;cha_mc[UnitTestingSeqKey]&amp;cha_mc[TestName],cha_mc[TestValue],"")</f>
        <v/>
      </c>
      <c r="AP17" s="4" t="str" cm="1">
        <f t="array" ref="AP17">_xlfn.XLOOKUP($K$1&amp;$Q$1&amp;"DPMB_SOCKET0__COMPUTE"&amp;AK17&amp;"__UNCORE__CHA__CHA"&amp;AL17&amp;"__UTIL__MC_MISC"&amp;$B$1,cha_mc[VisualId]&amp;cha_mc[UnitTestingSeqKey]&amp;cha_mc[TestName],cha_mc[TestValue],"")</f>
        <v/>
      </c>
      <c r="AQ17" s="30"/>
      <c r="AR17" s="30"/>
      <c r="AS17" s="30"/>
      <c r="AT17" s="30"/>
      <c r="AU17" s="30"/>
      <c r="AV17" s="4" t="str" cm="1">
        <f t="array" ref="AV17">_xlfn.XLOOKUP($K$1&amp;$Q$1&amp;"DPMB_SOCKET0__COMPUTE"&amp;AK17&amp;"__UNCORE__CHA__CHA"&amp;AL17&amp;"__UTIL__MC_MISC3"&amp;$B$1,cha_mc[VisualId]&amp;cha_mc[UnitTestingSeqKey]&amp;cha_mc[TestName],cha_mc[TestValue],"")</f>
        <v/>
      </c>
      <c r="AW17" s="30"/>
      <c r="AX17" s="30"/>
      <c r="AY17" s="30"/>
      <c r="AZ17" s="30"/>
      <c r="BA17" s="30"/>
    </row>
    <row r="18" spans="1:53" x14ac:dyDescent="0.3">
      <c r="A18" s="4" t="str">
        <f t="shared" si="0"/>
        <v>74X97M1000031</v>
      </c>
      <c r="B18" s="4" t="str">
        <f t="shared" si="1"/>
        <v>1-1</v>
      </c>
      <c r="C18" s="4">
        <v>0</v>
      </c>
      <c r="D18" s="4">
        <v>14</v>
      </c>
      <c r="E18" s="4" t="str" cm="1">
        <f t="array" ref="E18">_xlfn.XLOOKUP(A18&amp;B18&amp;$E$1&amp;"DPMB_SOCKET0__COMPUTE"&amp;C18&amp;"__CPU__CORE"&amp;Check!D18&amp;"__ML2_CR_MC3_STATUS"&amp;$B$1,core_mc[VisualId]&amp;core_mc[PPVRun_MC]&amp;core_mc[Lot]&amp;core_mc[TestNameWithoutNumeric],core_mc[TestValue],"")</f>
        <v/>
      </c>
      <c r="F18" s="4">
        <v>14</v>
      </c>
      <c r="G18" s="4" t="str" cm="1">
        <f t="array" ref="G18">_xlfn.XLOOKUP(A18&amp;B18&amp;$E$1&amp;"DPMB_SOCKET0__COMPUTE"&amp;C18&amp;"__UNCORE__CHA__CHA"&amp;Check!F18&amp;"__UTIL__MC_STATUS"&amp;$B$1,cha_mc[VisualId]&amp;cha_mc[PPVRun_MC]&amp;cha_mc[Lot]&amp;cha_mc[TestNameWithoutNumeric],cha_mc[TestValue],"")</f>
        <v/>
      </c>
      <c r="H18" s="4" t="str">
        <f t="shared" si="2"/>
        <v/>
      </c>
      <c r="J18" s="51"/>
      <c r="K18" s="56"/>
      <c r="L18" s="57"/>
      <c r="M18" s="54"/>
      <c r="N18" s="14" t="str">
        <f>"CHA"&amp;M17</f>
        <v>CHA5</v>
      </c>
      <c r="O18" s="54"/>
      <c r="P18" s="14" t="str">
        <f>"CHA"&amp;O17</f>
        <v>CHA12</v>
      </c>
      <c r="Q18" s="54"/>
      <c r="R18" s="14" t="str">
        <f>"CHA"&amp;Q17</f>
        <v>CHA19</v>
      </c>
      <c r="S18" s="54"/>
      <c r="T18" s="14" t="str">
        <f>"CHA"&amp;S17</f>
        <v>CHA26</v>
      </c>
      <c r="U18" s="54"/>
      <c r="V18" s="14" t="str">
        <f>"CHA"&amp;U17</f>
        <v>CHA33</v>
      </c>
      <c r="W18" s="54"/>
      <c r="X18" s="14" t="str">
        <f>"CHA"&amp;W17</f>
        <v>CHA40</v>
      </c>
      <c r="Y18" s="54"/>
      <c r="Z18" s="14" t="str">
        <f>"CHA"&amp;Y17</f>
        <v>CHA47</v>
      </c>
      <c r="AA18" s="54"/>
      <c r="AB18" s="14" t="str">
        <f>"CHA"&amp;AA17</f>
        <v>CHA54</v>
      </c>
      <c r="AC18" s="56"/>
      <c r="AD18" s="57"/>
      <c r="AE18" s="51"/>
      <c r="AK18" s="4" t="str">
        <f t="shared" si="3"/>
        <v/>
      </c>
      <c r="AL18" s="4"/>
      <c r="AM18" s="4" t="str">
        <f t="shared" si="4"/>
        <v/>
      </c>
      <c r="AN18" s="4" t="str">
        <f>IFERROR(_xlfn.XLOOKUP(HEX2DEC(MID(AM18,LEN(AM18)-7,4)),mscod[MSCOD_BY_VAL],mscod[Description],""),"")</f>
        <v/>
      </c>
      <c r="AO18" s="4" t="str" cm="1">
        <f t="array" ref="AO18">_xlfn.XLOOKUP($K$1&amp;$Q$1&amp;"DPMB_SOCKET0__COMPUTE"&amp;AK18&amp;"__UNCORE__CHA__CHA"&amp;AL18&amp;"__UTIL__MC_ADDR"&amp;$B$1,cha_mc[VisualId]&amp;cha_mc[UnitTestingSeqKey]&amp;cha_mc[TestName],cha_mc[TestValue],"")</f>
        <v/>
      </c>
      <c r="AP18" s="4" t="str" cm="1">
        <f t="array" ref="AP18">_xlfn.XLOOKUP($K$1&amp;$Q$1&amp;"DPMB_SOCKET0__COMPUTE"&amp;AK18&amp;"__UNCORE__CHA__CHA"&amp;AL18&amp;"__UTIL__MC_MISC"&amp;$B$1,cha_mc[VisualId]&amp;cha_mc[UnitTestingSeqKey]&amp;cha_mc[TestName],cha_mc[TestValue],"")</f>
        <v/>
      </c>
      <c r="AQ18" s="30"/>
      <c r="AR18" s="30"/>
      <c r="AS18" s="30"/>
      <c r="AT18" s="30"/>
      <c r="AU18" s="30"/>
      <c r="AV18" s="4" t="str" cm="1">
        <f t="array" ref="AV18">_xlfn.XLOOKUP($K$1&amp;$Q$1&amp;"DPMB_SOCKET0__COMPUTE"&amp;AK18&amp;"__UNCORE__CHA__CHA"&amp;AL18&amp;"__UTIL__MC_MISC3"&amp;$B$1,cha_mc[VisualId]&amp;cha_mc[UnitTestingSeqKey]&amp;cha_mc[TestName],cha_mc[TestValue],"")</f>
        <v/>
      </c>
      <c r="AW18" s="30"/>
      <c r="AX18" s="30"/>
      <c r="AY18" s="30"/>
      <c r="AZ18" s="30"/>
      <c r="BA18" s="30"/>
    </row>
    <row r="19" spans="1:53" x14ac:dyDescent="0.3">
      <c r="A19" s="4" t="str">
        <f t="shared" si="0"/>
        <v>74X97M1000031</v>
      </c>
      <c r="B19" s="4" t="str">
        <f t="shared" si="1"/>
        <v>1-1</v>
      </c>
      <c r="C19" s="4">
        <v>0</v>
      </c>
      <c r="D19" s="4">
        <v>15</v>
      </c>
      <c r="E19" s="4" t="str" cm="1">
        <f t="array" ref="E19">_xlfn.XLOOKUP(A19&amp;B19&amp;$E$1&amp;"DPMB_SOCKET0__COMPUTE"&amp;C19&amp;"__CPU__CORE"&amp;Check!D19&amp;"__ML2_CR_MC3_STATUS"&amp;$B$1,core_mc[VisualId]&amp;core_mc[PPVRun_MC]&amp;core_mc[Lot]&amp;core_mc[TestNameWithoutNumeric],core_mc[TestValue],"")</f>
        <v/>
      </c>
      <c r="F19" s="4">
        <v>15</v>
      </c>
      <c r="G19" s="4" t="str" cm="1">
        <f t="array" ref="G19">_xlfn.XLOOKUP(A19&amp;B19&amp;$E$1&amp;"DPMB_SOCKET0__COMPUTE"&amp;C19&amp;"__UNCORE__CHA__CHA"&amp;Check!F19&amp;"__UTIL__MC_STATUS"&amp;$B$1,cha_mc[VisualId]&amp;cha_mc[PPVRun_MC]&amp;cha_mc[Lot]&amp;cha_mc[TestNameWithoutNumeric],cha_mc[TestValue],"")</f>
        <v/>
      </c>
      <c r="H19" s="4" t="str">
        <f t="shared" si="2"/>
        <v/>
      </c>
      <c r="J19" s="36">
        <v>5</v>
      </c>
      <c r="K19" s="47" t="s">
        <v>157</v>
      </c>
      <c r="L19" s="48"/>
      <c r="M19" s="52">
        <f>M17+1</f>
        <v>6</v>
      </c>
      <c r="N19" s="5" t="str">
        <f>"CORE"&amp;M19</f>
        <v>CORE6</v>
      </c>
      <c r="O19" s="52">
        <f>O17+1</f>
        <v>13</v>
      </c>
      <c r="P19" s="5" t="str">
        <f>"CORE"&amp;O19</f>
        <v>CORE13</v>
      </c>
      <c r="Q19" s="52">
        <f>Q17+1</f>
        <v>20</v>
      </c>
      <c r="R19" s="5" t="str">
        <f>"CORE"&amp;Q19</f>
        <v>CORE20</v>
      </c>
      <c r="S19" s="52">
        <f>S17+1</f>
        <v>27</v>
      </c>
      <c r="T19" s="5" t="str">
        <f>"CORE"&amp;S19</f>
        <v>CORE27</v>
      </c>
      <c r="U19" s="52">
        <f>U17+1</f>
        <v>34</v>
      </c>
      <c r="V19" s="5" t="str">
        <f>"CORE"&amp;U19</f>
        <v>CORE34</v>
      </c>
      <c r="W19" s="52">
        <f>W17+1</f>
        <v>41</v>
      </c>
      <c r="X19" s="5" t="str">
        <f>"CORE"&amp;W19</f>
        <v>CORE41</v>
      </c>
      <c r="Y19" s="52">
        <f>Y17+1</f>
        <v>48</v>
      </c>
      <c r="Z19" s="5" t="str">
        <f>"CORE"&amp;Y19</f>
        <v>CORE48</v>
      </c>
      <c r="AA19" s="52">
        <f>AA17+1</f>
        <v>55</v>
      </c>
      <c r="AB19" s="5" t="str">
        <f>"CORE"&amp;AA19</f>
        <v>CORE55</v>
      </c>
      <c r="AC19" s="47" t="s">
        <v>158</v>
      </c>
      <c r="AD19" s="48"/>
      <c r="AE19" s="36">
        <v>5</v>
      </c>
      <c r="AK19" s="4" t="str">
        <f t="shared" si="3"/>
        <v/>
      </c>
      <c r="AL19" s="4"/>
      <c r="AM19" s="4" t="str">
        <f t="shared" si="4"/>
        <v/>
      </c>
      <c r="AN19" s="4" t="str">
        <f>IFERROR(_xlfn.XLOOKUP(HEX2DEC(MID(AM19,LEN(AM19)-7,4)),mscod[MSCOD_BY_VAL],mscod[Description],""),"")</f>
        <v/>
      </c>
      <c r="AO19" s="4" t="str" cm="1">
        <f t="array" ref="AO19">_xlfn.XLOOKUP($K$1&amp;$Q$1&amp;"DPMB_SOCKET0__COMPUTE"&amp;AK19&amp;"__UNCORE__CHA__CHA"&amp;AL19&amp;"__UTIL__MC_ADDR"&amp;$B$1,cha_mc[VisualId]&amp;cha_mc[UnitTestingSeqKey]&amp;cha_mc[TestName],cha_mc[TestValue],"")</f>
        <v/>
      </c>
      <c r="AP19" s="4" t="str" cm="1">
        <f t="array" ref="AP19">_xlfn.XLOOKUP($K$1&amp;$Q$1&amp;"DPMB_SOCKET0__COMPUTE"&amp;AK19&amp;"__UNCORE__CHA__CHA"&amp;AL19&amp;"__UTIL__MC_MISC"&amp;$B$1,cha_mc[VisualId]&amp;cha_mc[UnitTestingSeqKey]&amp;cha_mc[TestName],cha_mc[TestValue],"")</f>
        <v/>
      </c>
      <c r="AQ19" s="30"/>
      <c r="AR19" s="30"/>
      <c r="AS19" s="30"/>
      <c r="AT19" s="30"/>
      <c r="AU19" s="30"/>
      <c r="AV19" s="4" t="str" cm="1">
        <f t="array" ref="AV19">_xlfn.XLOOKUP($K$1&amp;$Q$1&amp;"DPMB_SOCKET0__COMPUTE"&amp;AK19&amp;"__UNCORE__CHA__CHA"&amp;AL19&amp;"__UTIL__MC_MISC3"&amp;$B$1,cha_mc[VisualId]&amp;cha_mc[UnitTestingSeqKey]&amp;cha_mc[TestName],cha_mc[TestValue],"")</f>
        <v/>
      </c>
      <c r="AW19" s="30"/>
      <c r="AX19" s="30"/>
      <c r="AY19" s="30"/>
      <c r="AZ19" s="30"/>
      <c r="BA19" s="30"/>
    </row>
    <row r="20" spans="1:53" x14ac:dyDescent="0.3">
      <c r="A20" s="4" t="str">
        <f t="shared" si="0"/>
        <v>74X97M1000031</v>
      </c>
      <c r="B20" s="4" t="str">
        <f t="shared" si="1"/>
        <v>1-1</v>
      </c>
      <c r="C20" s="4">
        <v>0</v>
      </c>
      <c r="D20" s="4">
        <v>16</v>
      </c>
      <c r="E20" s="4" t="str" cm="1">
        <f t="array" ref="E20">_xlfn.XLOOKUP(A20&amp;B20&amp;$E$1&amp;"DPMB_SOCKET0__COMPUTE"&amp;C20&amp;"__CPU__CORE"&amp;Check!D20&amp;"__ML2_CR_MC3_STATUS"&amp;$B$1,core_mc[VisualId]&amp;core_mc[PPVRun_MC]&amp;core_mc[Lot]&amp;core_mc[TestNameWithoutNumeric],core_mc[TestValue],"")</f>
        <v/>
      </c>
      <c r="F20" s="4">
        <v>16</v>
      </c>
      <c r="G20" s="4" t="str" cm="1">
        <f t="array" ref="G20">_xlfn.XLOOKUP(A20&amp;B20&amp;$E$1&amp;"DPMB_SOCKET0__COMPUTE"&amp;C20&amp;"__UNCORE__CHA__CHA"&amp;Check!F20&amp;"__UTIL__MC_STATUS"&amp;$B$1,cha_mc[VisualId]&amp;cha_mc[PPVRun_MC]&amp;cha_mc[Lot]&amp;cha_mc[TestNameWithoutNumeric],cha_mc[TestValue],"")</f>
        <v/>
      </c>
      <c r="H20" s="4" t="str">
        <f t="shared" si="2"/>
        <v/>
      </c>
      <c r="J20" s="51"/>
      <c r="K20" s="49"/>
      <c r="L20" s="50"/>
      <c r="M20" s="51"/>
      <c r="N20" s="5" t="str">
        <f>"CHA"&amp;M19</f>
        <v>CHA6</v>
      </c>
      <c r="O20" s="51"/>
      <c r="P20" s="5" t="str">
        <f>"CHA"&amp;O19</f>
        <v>CHA13</v>
      </c>
      <c r="Q20" s="51"/>
      <c r="R20" s="5" t="str">
        <f>"CHA"&amp;Q19</f>
        <v>CHA20</v>
      </c>
      <c r="S20" s="51"/>
      <c r="T20" s="5" t="str">
        <f>"CHA"&amp;S19</f>
        <v>CHA27</v>
      </c>
      <c r="U20" s="51"/>
      <c r="V20" s="5" t="str">
        <f>"CHA"&amp;U19</f>
        <v>CHA34</v>
      </c>
      <c r="W20" s="51"/>
      <c r="X20" s="5" t="str">
        <f>"CHA"&amp;W19</f>
        <v>CHA41</v>
      </c>
      <c r="Y20" s="51"/>
      <c r="Z20" s="5" t="str">
        <f>"CHA"&amp;Y19</f>
        <v>CHA48</v>
      </c>
      <c r="AA20" s="51"/>
      <c r="AB20" s="5" t="str">
        <f>"CHA"&amp;AA19</f>
        <v>CHA55</v>
      </c>
      <c r="AC20" s="49"/>
      <c r="AD20" s="50"/>
      <c r="AE20" s="51"/>
      <c r="AK20" s="4" t="str">
        <f t="shared" si="3"/>
        <v/>
      </c>
      <c r="AL20" s="4"/>
      <c r="AM20" s="4" t="str">
        <f t="shared" si="4"/>
        <v/>
      </c>
      <c r="AN20" s="4" t="str">
        <f>IFERROR(_xlfn.XLOOKUP(HEX2DEC(MID(AM20,LEN(AM20)-7,4)),mscod[MSCOD_BY_VAL],mscod[Description],""),"")</f>
        <v/>
      </c>
      <c r="AO20" s="4" t="str" cm="1">
        <f t="array" ref="AO20">_xlfn.XLOOKUP($K$1&amp;$Q$1&amp;"DPMB_SOCKET0__COMPUTE"&amp;AK20&amp;"__UNCORE__CHA__CHA"&amp;AL20&amp;"__UTIL__MC_ADDR"&amp;$B$1,cha_mc[VisualId]&amp;cha_mc[UnitTestingSeqKey]&amp;cha_mc[TestName],cha_mc[TestValue],"")</f>
        <v/>
      </c>
      <c r="AP20" s="4" t="str" cm="1">
        <f t="array" ref="AP20">_xlfn.XLOOKUP($K$1&amp;$Q$1&amp;"DPMB_SOCKET0__COMPUTE"&amp;AK20&amp;"__UNCORE__CHA__CHA"&amp;AL20&amp;"__UTIL__MC_MISC"&amp;$B$1,cha_mc[VisualId]&amp;cha_mc[UnitTestingSeqKey]&amp;cha_mc[TestName],cha_mc[TestValue],"")</f>
        <v/>
      </c>
      <c r="AQ20" s="30"/>
      <c r="AR20" s="30"/>
      <c r="AS20" s="30"/>
      <c r="AT20" s="30"/>
      <c r="AU20" s="30"/>
      <c r="AV20" s="4" t="str" cm="1">
        <f t="array" ref="AV20">_xlfn.XLOOKUP($K$1&amp;$Q$1&amp;"DPMB_SOCKET0__COMPUTE"&amp;AK20&amp;"__UNCORE__CHA__CHA"&amp;AL20&amp;"__UTIL__MC_MISC3"&amp;$B$1,cha_mc[VisualId]&amp;cha_mc[UnitTestingSeqKey]&amp;cha_mc[TestName],cha_mc[TestValue],"")</f>
        <v/>
      </c>
      <c r="AW20" s="30"/>
      <c r="AX20" s="30"/>
      <c r="AY20" s="30"/>
      <c r="AZ20" s="30"/>
      <c r="BA20" s="30"/>
    </row>
    <row r="21" spans="1:53" x14ac:dyDescent="0.3">
      <c r="A21" s="4" t="str">
        <f t="shared" si="0"/>
        <v>74X97M1000031</v>
      </c>
      <c r="B21" s="4" t="str">
        <f t="shared" si="1"/>
        <v>1-1</v>
      </c>
      <c r="C21" s="4">
        <v>0</v>
      </c>
      <c r="D21" s="4">
        <v>17</v>
      </c>
      <c r="E21" s="4" t="str" cm="1">
        <f t="array" ref="E21">_xlfn.XLOOKUP(A21&amp;B21&amp;$E$1&amp;"DPMB_SOCKET0__COMPUTE"&amp;C21&amp;"__CPU__CORE"&amp;Check!D21&amp;"__ML2_CR_MC3_STATUS"&amp;$B$1,core_mc[VisualId]&amp;core_mc[PPVRun_MC]&amp;core_mc[Lot]&amp;core_mc[TestNameWithoutNumeric],core_mc[TestValue],"")</f>
        <v/>
      </c>
      <c r="F21" s="4">
        <v>17</v>
      </c>
      <c r="G21" s="4" t="str" cm="1">
        <f t="array" ref="G21">_xlfn.XLOOKUP(A21&amp;B21&amp;$E$1&amp;"DPMB_SOCKET0__COMPUTE"&amp;C21&amp;"__UNCORE__CHA__CHA"&amp;Check!F21&amp;"__UTIL__MC_STATUS"&amp;$B$1,cha_mc[VisualId]&amp;cha_mc[PPVRun_MC]&amp;cha_mc[Lot]&amp;cha_mc[TestNameWithoutNumeric],cha_mc[TestValue],"")</f>
        <v/>
      </c>
      <c r="H21" s="4" t="str">
        <f t="shared" si="2"/>
        <v/>
      </c>
      <c r="J21" s="36">
        <v>6</v>
      </c>
      <c r="K21" s="47" t="s">
        <v>159</v>
      </c>
      <c r="L21" s="48"/>
      <c r="M21" s="52">
        <f>M19+1</f>
        <v>7</v>
      </c>
      <c r="N21" s="5" t="str">
        <f>"CORE"&amp;M21</f>
        <v>CORE7</v>
      </c>
      <c r="O21" s="52">
        <f>O19+1</f>
        <v>14</v>
      </c>
      <c r="P21" s="5" t="str">
        <f>"CORE"&amp;O21</f>
        <v>CORE14</v>
      </c>
      <c r="Q21" s="52">
        <f>Q19+1</f>
        <v>21</v>
      </c>
      <c r="R21" s="5" t="str">
        <f>"CORE"&amp;Q21</f>
        <v>CORE21</v>
      </c>
      <c r="S21" s="52">
        <f>S19+1</f>
        <v>28</v>
      </c>
      <c r="T21" s="5" t="str">
        <f>"CORE"&amp;S21</f>
        <v>CORE28</v>
      </c>
      <c r="U21" s="52">
        <f>U19+1</f>
        <v>35</v>
      </c>
      <c r="V21" s="5" t="str">
        <f>"CORE"&amp;U21</f>
        <v>CORE35</v>
      </c>
      <c r="W21" s="52">
        <f>W19+1</f>
        <v>42</v>
      </c>
      <c r="X21" s="5" t="str">
        <f>"CORE"&amp;W21</f>
        <v>CORE42</v>
      </c>
      <c r="Y21" s="52">
        <f>Y19+1</f>
        <v>49</v>
      </c>
      <c r="Z21" s="5" t="str">
        <f>"CORE"&amp;Y21</f>
        <v>CORE49</v>
      </c>
      <c r="AA21" s="52">
        <f>AA19+1</f>
        <v>56</v>
      </c>
      <c r="AB21" s="5" t="str">
        <f>"CORE"&amp;AA21</f>
        <v>CORE56</v>
      </c>
      <c r="AC21" s="47" t="s">
        <v>160</v>
      </c>
      <c r="AD21" s="48"/>
      <c r="AE21" s="36">
        <v>6</v>
      </c>
      <c r="AK21" s="4" t="str">
        <f t="shared" si="3"/>
        <v/>
      </c>
      <c r="AL21" s="4"/>
      <c r="AM21" s="4" t="str">
        <f t="shared" si="4"/>
        <v/>
      </c>
      <c r="AN21" s="4" t="str">
        <f>IFERROR(_xlfn.XLOOKUP(HEX2DEC(MID(AM21,LEN(AM21)-7,4)),mscod[MSCOD_BY_VAL],mscod[Description],""),"")</f>
        <v/>
      </c>
      <c r="AO21" s="4" t="str" cm="1">
        <f t="array" ref="AO21">_xlfn.XLOOKUP($K$1&amp;$Q$1&amp;"DPMB_SOCKET0__COMPUTE"&amp;AK21&amp;"__UNCORE__CHA__CHA"&amp;AL21&amp;"__UTIL__MC_ADDR"&amp;$B$1,cha_mc[VisualId]&amp;cha_mc[UnitTestingSeqKey]&amp;cha_mc[TestName],cha_mc[TestValue],"")</f>
        <v/>
      </c>
      <c r="AP21" s="4" t="str" cm="1">
        <f t="array" ref="AP21">_xlfn.XLOOKUP($K$1&amp;$Q$1&amp;"DPMB_SOCKET0__COMPUTE"&amp;AK21&amp;"__UNCORE__CHA__CHA"&amp;AL21&amp;"__UTIL__MC_MISC"&amp;$B$1,cha_mc[VisualId]&amp;cha_mc[UnitTestingSeqKey]&amp;cha_mc[TestName],cha_mc[TestValue],"")</f>
        <v/>
      </c>
      <c r="AQ21" s="30"/>
      <c r="AR21" s="30"/>
      <c r="AS21" s="30"/>
      <c r="AT21" s="30"/>
      <c r="AU21" s="30"/>
      <c r="AV21" s="4" t="str" cm="1">
        <f t="array" ref="AV21">_xlfn.XLOOKUP($K$1&amp;$Q$1&amp;"DPMB_SOCKET0__COMPUTE"&amp;AK21&amp;"__UNCORE__CHA__CHA"&amp;AL21&amp;"__UTIL__MC_MISC3"&amp;$B$1,cha_mc[VisualId]&amp;cha_mc[UnitTestingSeqKey]&amp;cha_mc[TestName],cha_mc[TestValue],"")</f>
        <v/>
      </c>
      <c r="AW21" s="30"/>
      <c r="AX21" s="30"/>
      <c r="AY21" s="30"/>
      <c r="AZ21" s="30"/>
      <c r="BA21" s="30"/>
    </row>
    <row r="22" spans="1:53" x14ac:dyDescent="0.3">
      <c r="A22" s="4" t="str">
        <f t="shared" si="0"/>
        <v>74X97M1000031</v>
      </c>
      <c r="B22" s="4" t="str">
        <f t="shared" si="1"/>
        <v>1-1</v>
      </c>
      <c r="C22" s="4">
        <v>0</v>
      </c>
      <c r="D22" s="4">
        <v>18</v>
      </c>
      <c r="E22" s="4" t="str" cm="1">
        <f t="array" ref="E22">_xlfn.XLOOKUP(A22&amp;B22&amp;$E$1&amp;"DPMB_SOCKET0__COMPUTE"&amp;C22&amp;"__CPU__CORE"&amp;Check!D22&amp;"__ML2_CR_MC3_STATUS"&amp;$B$1,core_mc[VisualId]&amp;core_mc[PPVRun_MC]&amp;core_mc[Lot]&amp;core_mc[TestNameWithoutNumeric],core_mc[TestValue],"")</f>
        <v/>
      </c>
      <c r="F22" s="4">
        <v>18</v>
      </c>
      <c r="G22" s="4" t="str" cm="1">
        <f t="array" ref="G22">_xlfn.XLOOKUP(A22&amp;B22&amp;$E$1&amp;"DPMB_SOCKET0__COMPUTE"&amp;C22&amp;"__UNCORE__CHA__CHA"&amp;Check!F22&amp;"__UTIL__MC_STATUS"&amp;$B$1,cha_mc[VisualId]&amp;cha_mc[PPVRun_MC]&amp;cha_mc[Lot]&amp;cha_mc[TestNameWithoutNumeric],cha_mc[TestValue],"")</f>
        <v/>
      </c>
      <c r="H22" s="4" t="str">
        <f t="shared" si="2"/>
        <v/>
      </c>
      <c r="J22" s="51"/>
      <c r="K22" s="49"/>
      <c r="L22" s="50"/>
      <c r="M22" s="51"/>
      <c r="N22" s="5" t="str">
        <f>"CHA"&amp;M21</f>
        <v>CHA7</v>
      </c>
      <c r="O22" s="51"/>
      <c r="P22" s="5" t="str">
        <f>"CHA"&amp;O21</f>
        <v>CHA14</v>
      </c>
      <c r="Q22" s="51"/>
      <c r="R22" s="5" t="str">
        <f>"CHA"&amp;Q21</f>
        <v>CHA21</v>
      </c>
      <c r="S22" s="51"/>
      <c r="T22" s="5" t="str">
        <f>"CHA"&amp;S21</f>
        <v>CHA28</v>
      </c>
      <c r="U22" s="51"/>
      <c r="V22" s="5" t="str">
        <f>"CHA"&amp;U21</f>
        <v>CHA35</v>
      </c>
      <c r="W22" s="51"/>
      <c r="X22" s="5" t="str">
        <f>"CHA"&amp;W21</f>
        <v>CHA42</v>
      </c>
      <c r="Y22" s="51"/>
      <c r="Z22" s="5" t="str">
        <f>"CHA"&amp;Y21</f>
        <v>CHA49</v>
      </c>
      <c r="AA22" s="51"/>
      <c r="AB22" s="5" t="str">
        <f>"CHA"&amp;AA21</f>
        <v>CHA56</v>
      </c>
      <c r="AC22" s="49"/>
      <c r="AD22" s="50"/>
      <c r="AE22" s="51"/>
      <c r="AK22" s="4" t="str">
        <f t="shared" si="3"/>
        <v/>
      </c>
      <c r="AL22" s="4"/>
      <c r="AM22" s="4" t="str">
        <f t="shared" si="4"/>
        <v/>
      </c>
      <c r="AN22" s="4" t="str">
        <f>IFERROR(_xlfn.XLOOKUP(HEX2DEC(MID(AM22,LEN(AM22)-7,4)),mscod[MSCOD_BY_VAL],mscod[Description],""),"")</f>
        <v/>
      </c>
      <c r="AO22" s="4" t="str" cm="1">
        <f t="array" ref="AO22">_xlfn.XLOOKUP($K$1&amp;$Q$1&amp;"DPMB_SOCKET0__COMPUTE"&amp;AK22&amp;"__UNCORE__CHA__CHA"&amp;AL22&amp;"__UTIL__MC_ADDR"&amp;$B$1,cha_mc[VisualId]&amp;cha_mc[UnitTestingSeqKey]&amp;cha_mc[TestName],cha_mc[TestValue],"")</f>
        <v/>
      </c>
      <c r="AP22" s="4" t="str" cm="1">
        <f t="array" ref="AP22">_xlfn.XLOOKUP($K$1&amp;$Q$1&amp;"DPMB_SOCKET0__COMPUTE"&amp;AK22&amp;"__UNCORE__CHA__CHA"&amp;AL22&amp;"__UTIL__MC_MISC"&amp;$B$1,cha_mc[VisualId]&amp;cha_mc[UnitTestingSeqKey]&amp;cha_mc[TestName],cha_mc[TestValue],"")</f>
        <v/>
      </c>
      <c r="AQ22" s="30"/>
      <c r="AR22" s="30"/>
      <c r="AS22" s="30"/>
      <c r="AT22" s="30"/>
      <c r="AU22" s="30"/>
      <c r="AV22" s="4" t="str" cm="1">
        <f t="array" ref="AV22">_xlfn.XLOOKUP($K$1&amp;$Q$1&amp;"DPMB_SOCKET0__COMPUTE"&amp;AK22&amp;"__UNCORE__CHA__CHA"&amp;AL22&amp;"__UTIL__MC_MISC3"&amp;$B$1,cha_mc[VisualId]&amp;cha_mc[UnitTestingSeqKey]&amp;cha_mc[TestName],cha_mc[TestValue],"")</f>
        <v/>
      </c>
      <c r="AW22" s="30"/>
      <c r="AX22" s="30"/>
      <c r="AY22" s="30"/>
      <c r="AZ22" s="30"/>
      <c r="BA22" s="30"/>
    </row>
    <row r="23" spans="1:53" x14ac:dyDescent="0.3">
      <c r="A23" s="4" t="str">
        <f t="shared" si="0"/>
        <v>74X97M1000031</v>
      </c>
      <c r="B23" s="4" t="str">
        <f t="shared" si="1"/>
        <v>1-1</v>
      </c>
      <c r="C23" s="4">
        <v>0</v>
      </c>
      <c r="D23" s="4">
        <v>19</v>
      </c>
      <c r="E23" s="4" t="str" cm="1">
        <f t="array" ref="E23">_xlfn.XLOOKUP(A23&amp;B23&amp;$E$1&amp;"DPMB_SOCKET0__COMPUTE"&amp;C23&amp;"__CPU__CORE"&amp;Check!D23&amp;"__ML2_CR_MC3_STATUS"&amp;$B$1,core_mc[VisualId]&amp;core_mc[PPVRun_MC]&amp;core_mc[Lot]&amp;core_mc[TestNameWithoutNumeric],core_mc[TestValue],"")</f>
        <v/>
      </c>
      <c r="F23" s="4">
        <v>19</v>
      </c>
      <c r="G23" s="4" t="str" cm="1">
        <f t="array" ref="G23">_xlfn.XLOOKUP(A23&amp;B23&amp;$E$1&amp;"DPMB_SOCKET0__COMPUTE"&amp;C23&amp;"__UNCORE__CHA__CHA"&amp;Check!F23&amp;"__UTIL__MC_STATUS"&amp;$B$1,cha_mc[VisualId]&amp;cha_mc[PPVRun_MC]&amp;cha_mc[Lot]&amp;cha_mc[TestNameWithoutNumeric],cha_mc[TestValue],"")</f>
        <v/>
      </c>
      <c r="H23" s="4" t="str">
        <f t="shared" si="2"/>
        <v/>
      </c>
      <c r="J23" s="36">
        <v>7</v>
      </c>
      <c r="K23" s="47" t="s">
        <v>161</v>
      </c>
      <c r="L23" s="48"/>
      <c r="M23" s="52">
        <f>M21+1</f>
        <v>8</v>
      </c>
      <c r="N23" s="5" t="str">
        <f>"CORE"&amp;M23</f>
        <v>CORE8</v>
      </c>
      <c r="O23" s="52">
        <f>O21+1</f>
        <v>15</v>
      </c>
      <c r="P23" s="5" t="str">
        <f>"CORE"&amp;O23</f>
        <v>CORE15</v>
      </c>
      <c r="Q23" s="52">
        <f>Q21+1</f>
        <v>22</v>
      </c>
      <c r="R23" s="5" t="str">
        <f>"CORE"&amp;Q23</f>
        <v>CORE22</v>
      </c>
      <c r="S23" s="52">
        <f>S21+1</f>
        <v>29</v>
      </c>
      <c r="T23" s="5" t="str">
        <f>"CORE"&amp;S23</f>
        <v>CORE29</v>
      </c>
      <c r="U23" s="52">
        <f>U21+1</f>
        <v>36</v>
      </c>
      <c r="V23" s="5" t="str">
        <f>"CORE"&amp;U23</f>
        <v>CORE36</v>
      </c>
      <c r="W23" s="52">
        <f>W21+1</f>
        <v>43</v>
      </c>
      <c r="X23" s="5" t="str">
        <f>"CORE"&amp;W23</f>
        <v>CORE43</v>
      </c>
      <c r="Y23" s="52">
        <f>Y21+1</f>
        <v>50</v>
      </c>
      <c r="Z23" s="5" t="str">
        <f>"CORE"&amp;Y23</f>
        <v>CORE50</v>
      </c>
      <c r="AA23" s="52">
        <f>AA21+1</f>
        <v>57</v>
      </c>
      <c r="AB23" s="5" t="str">
        <f>"CORE"&amp;AA23</f>
        <v>CORE57</v>
      </c>
      <c r="AC23" s="47" t="s">
        <v>161</v>
      </c>
      <c r="AD23" s="48"/>
      <c r="AE23" s="36">
        <v>7</v>
      </c>
      <c r="AK23" s="4" t="str">
        <f t="shared" si="3"/>
        <v/>
      </c>
      <c r="AL23" s="4"/>
      <c r="AM23" s="4" t="str">
        <f t="shared" si="4"/>
        <v/>
      </c>
      <c r="AN23" s="4" t="str">
        <f>IFERROR(_xlfn.XLOOKUP(HEX2DEC(MID(AM23,LEN(AM23)-7,4)),mscod[MSCOD_BY_VAL],mscod[Description],""),"")</f>
        <v/>
      </c>
      <c r="AO23" s="4" t="str" cm="1">
        <f t="array" ref="AO23">_xlfn.XLOOKUP($K$1&amp;$Q$1&amp;"DPMB_SOCKET0__COMPUTE"&amp;AK23&amp;"__UNCORE__CHA__CHA"&amp;AL23&amp;"__UTIL__MC_ADDR"&amp;$B$1,cha_mc[VisualId]&amp;cha_mc[UnitTestingSeqKey]&amp;cha_mc[TestName],cha_mc[TestValue],"")</f>
        <v/>
      </c>
      <c r="AP23" s="4" t="str" cm="1">
        <f t="array" ref="AP23">_xlfn.XLOOKUP($K$1&amp;$Q$1&amp;"DPMB_SOCKET0__COMPUTE"&amp;AK23&amp;"__UNCORE__CHA__CHA"&amp;AL23&amp;"__UTIL__MC_MISC"&amp;$B$1,cha_mc[VisualId]&amp;cha_mc[UnitTestingSeqKey]&amp;cha_mc[TestName],cha_mc[TestValue],"")</f>
        <v/>
      </c>
      <c r="AQ23" s="30"/>
      <c r="AR23" s="30"/>
      <c r="AS23" s="30"/>
      <c r="AT23" s="30"/>
      <c r="AU23" s="30"/>
      <c r="AV23" s="4" t="str" cm="1">
        <f t="array" ref="AV23">_xlfn.XLOOKUP($K$1&amp;$Q$1&amp;"DPMB_SOCKET0__COMPUTE"&amp;AK23&amp;"__UNCORE__CHA__CHA"&amp;AL23&amp;"__UTIL__MC_MISC3"&amp;$B$1,cha_mc[VisualId]&amp;cha_mc[UnitTestingSeqKey]&amp;cha_mc[TestName],cha_mc[TestValue],"")</f>
        <v/>
      </c>
      <c r="AW23" s="30"/>
      <c r="AX23" s="30"/>
      <c r="AY23" s="30"/>
      <c r="AZ23" s="30"/>
      <c r="BA23" s="30"/>
    </row>
    <row r="24" spans="1:53" x14ac:dyDescent="0.3">
      <c r="A24" s="4" t="str">
        <f t="shared" si="0"/>
        <v>74X97M1000031</v>
      </c>
      <c r="B24" s="4" t="str">
        <f t="shared" si="1"/>
        <v>1-1</v>
      </c>
      <c r="C24" s="4">
        <v>0</v>
      </c>
      <c r="D24" s="4">
        <v>20</v>
      </c>
      <c r="E24" s="4" t="str" cm="1">
        <f t="array" ref="E24">_xlfn.XLOOKUP(A24&amp;B24&amp;$E$1&amp;"DPMB_SOCKET0__COMPUTE"&amp;C24&amp;"__CPU__CORE"&amp;Check!D24&amp;"__ML2_CR_MC3_STATUS"&amp;$B$1,core_mc[VisualId]&amp;core_mc[PPVRun_MC]&amp;core_mc[Lot]&amp;core_mc[TestNameWithoutNumeric],core_mc[TestValue],"")</f>
        <v/>
      </c>
      <c r="F24" s="4">
        <v>20</v>
      </c>
      <c r="G24" s="4" t="str" cm="1">
        <f t="array" ref="G24">_xlfn.XLOOKUP(A24&amp;B24&amp;$E$1&amp;"DPMB_SOCKET0__COMPUTE"&amp;C24&amp;"__UNCORE__CHA__CHA"&amp;Check!F24&amp;"__UTIL__MC_STATUS"&amp;$B$1,cha_mc[VisualId]&amp;cha_mc[PPVRun_MC]&amp;cha_mc[Lot]&amp;cha_mc[TestNameWithoutNumeric],cha_mc[TestValue],"")</f>
        <v/>
      </c>
      <c r="H24" s="4" t="str">
        <f t="shared" si="2"/>
        <v/>
      </c>
      <c r="J24" s="51"/>
      <c r="K24" s="49"/>
      <c r="L24" s="50"/>
      <c r="M24" s="51"/>
      <c r="N24" s="5" t="str">
        <f>"CHA"&amp;M23</f>
        <v>CHA8</v>
      </c>
      <c r="O24" s="51"/>
      <c r="P24" s="5" t="str">
        <f>"CHA"&amp;O23</f>
        <v>CHA15</v>
      </c>
      <c r="Q24" s="51"/>
      <c r="R24" s="5" t="str">
        <f>"CHA"&amp;Q23</f>
        <v>CHA22</v>
      </c>
      <c r="S24" s="51"/>
      <c r="T24" s="5" t="str">
        <f>"CHA"&amp;S23</f>
        <v>CHA29</v>
      </c>
      <c r="U24" s="51"/>
      <c r="V24" s="5" t="str">
        <f>"CHA"&amp;U23</f>
        <v>CHA36</v>
      </c>
      <c r="W24" s="51"/>
      <c r="X24" s="5" t="str">
        <f>"CHA"&amp;W23</f>
        <v>CHA43</v>
      </c>
      <c r="Y24" s="51"/>
      <c r="Z24" s="5" t="str">
        <f>"CHA"&amp;Y23</f>
        <v>CHA50</v>
      </c>
      <c r="AA24" s="51"/>
      <c r="AB24" s="5" t="str">
        <f>"CHA"&amp;AA23</f>
        <v>CHA57</v>
      </c>
      <c r="AC24" s="49"/>
      <c r="AD24" s="50"/>
      <c r="AE24" s="51"/>
      <c r="AK24" s="4" t="str">
        <f t="shared" si="3"/>
        <v/>
      </c>
      <c r="AL24" s="4"/>
      <c r="AM24" s="4" t="str">
        <f t="shared" si="4"/>
        <v/>
      </c>
      <c r="AN24" s="4" t="str">
        <f>IFERROR(_xlfn.XLOOKUP(HEX2DEC(MID(AM24,LEN(AM24)-7,4)),mscod[MSCOD_BY_VAL],mscod[Description],""),"")</f>
        <v/>
      </c>
      <c r="AO24" s="4" t="str" cm="1">
        <f t="array" ref="AO24">_xlfn.XLOOKUP($K$1&amp;$Q$1&amp;"DPMB_SOCKET0__COMPUTE"&amp;AK24&amp;"__UNCORE__CHA__CHA"&amp;AL24&amp;"__UTIL__MC_ADDR"&amp;$B$1,cha_mc[VisualId]&amp;cha_mc[UnitTestingSeqKey]&amp;cha_mc[TestName],cha_mc[TestValue],"")</f>
        <v/>
      </c>
      <c r="AP24" s="4" t="str" cm="1">
        <f t="array" ref="AP24">_xlfn.XLOOKUP($K$1&amp;$Q$1&amp;"DPMB_SOCKET0__COMPUTE"&amp;AK24&amp;"__UNCORE__CHA__CHA"&amp;AL24&amp;"__UTIL__MC_MISC"&amp;$B$1,cha_mc[VisualId]&amp;cha_mc[UnitTestingSeqKey]&amp;cha_mc[TestName],cha_mc[TestValue],"")</f>
        <v/>
      </c>
      <c r="AQ24" s="30"/>
      <c r="AR24" s="30"/>
      <c r="AS24" s="30"/>
      <c r="AT24" s="30"/>
      <c r="AU24" s="30"/>
      <c r="AV24" s="4" t="str" cm="1">
        <f t="array" ref="AV24">_xlfn.XLOOKUP($K$1&amp;$Q$1&amp;"DPMB_SOCKET0__COMPUTE"&amp;AK24&amp;"__UNCORE__CHA__CHA"&amp;AL24&amp;"__UTIL__MC_MISC3"&amp;$B$1,cha_mc[VisualId]&amp;cha_mc[UnitTestingSeqKey]&amp;cha_mc[TestName],cha_mc[TestValue],"")</f>
        <v/>
      </c>
      <c r="AW24" s="30"/>
      <c r="AX24" s="30"/>
      <c r="AY24" s="30"/>
      <c r="AZ24" s="30"/>
      <c r="BA24" s="30"/>
    </row>
    <row r="25" spans="1:53" x14ac:dyDescent="0.3">
      <c r="A25" s="4" t="str">
        <f t="shared" si="0"/>
        <v>74X97M1000031</v>
      </c>
      <c r="B25" s="4" t="str">
        <f t="shared" si="1"/>
        <v>1-1</v>
      </c>
      <c r="C25" s="4">
        <v>0</v>
      </c>
      <c r="D25" s="4">
        <v>21</v>
      </c>
      <c r="E25" s="4" t="str" cm="1">
        <f t="array" ref="E25">_xlfn.XLOOKUP(A25&amp;B25&amp;$E$1&amp;"DPMB_SOCKET0__COMPUTE"&amp;C25&amp;"__CPU__CORE"&amp;Check!D25&amp;"__ML2_CR_MC3_STATUS"&amp;$B$1,core_mc[VisualId]&amp;core_mc[PPVRun_MC]&amp;core_mc[Lot]&amp;core_mc[TestNameWithoutNumeric],core_mc[TestValue],"")</f>
        <v/>
      </c>
      <c r="F25" s="4">
        <v>21</v>
      </c>
      <c r="G25" s="4" t="str" cm="1">
        <f t="array" ref="G25">_xlfn.XLOOKUP(A25&amp;B25&amp;$E$1&amp;"DPMB_SOCKET0__COMPUTE"&amp;C25&amp;"__UNCORE__CHA__CHA"&amp;Check!F25&amp;"__UTIL__MC_STATUS"&amp;$B$1,cha_mc[VisualId]&amp;cha_mc[PPVRun_MC]&amp;cha_mc[Lot]&amp;cha_mc[TestNameWithoutNumeric],cha_mc[TestValue],"")</f>
        <v/>
      </c>
      <c r="H25" s="4" t="str">
        <f t="shared" si="2"/>
        <v/>
      </c>
      <c r="J25" s="1" t="s">
        <v>152</v>
      </c>
      <c r="K25" s="44" t="s">
        <v>151</v>
      </c>
      <c r="L25" s="37"/>
      <c r="M25" s="44" t="s">
        <v>151</v>
      </c>
      <c r="N25" s="37"/>
      <c r="O25" s="44" t="s">
        <v>151</v>
      </c>
      <c r="P25" s="37"/>
      <c r="Q25" s="44" t="s">
        <v>151</v>
      </c>
      <c r="R25" s="37"/>
      <c r="S25" s="44" t="s">
        <v>151</v>
      </c>
      <c r="T25" s="37"/>
      <c r="U25" s="44" t="s">
        <v>151</v>
      </c>
      <c r="V25" s="37"/>
      <c r="W25" s="44" t="s">
        <v>151</v>
      </c>
      <c r="X25" s="37"/>
      <c r="Y25" s="44" t="s">
        <v>151</v>
      </c>
      <c r="Z25" s="37"/>
      <c r="AA25" s="44" t="s">
        <v>151</v>
      </c>
      <c r="AB25" s="37"/>
      <c r="AC25" s="44" t="s">
        <v>151</v>
      </c>
      <c r="AD25" s="37"/>
      <c r="AE25" s="1" t="s">
        <v>152</v>
      </c>
      <c r="AK25" s="4" t="str">
        <f t="shared" si="3"/>
        <v/>
      </c>
      <c r="AL25" s="4"/>
      <c r="AM25" s="4" t="str">
        <f t="shared" si="4"/>
        <v/>
      </c>
      <c r="AN25" s="4" t="str">
        <f>IFERROR(_xlfn.XLOOKUP(HEX2DEC(MID(AM25,LEN(AM25)-7,4)),mscod[MSCOD_BY_VAL],mscod[Description],""),"")</f>
        <v/>
      </c>
      <c r="AO25" s="4" t="str" cm="1">
        <f t="array" ref="AO25">_xlfn.XLOOKUP($K$1&amp;$Q$1&amp;"DPMB_SOCKET0__COMPUTE"&amp;AK25&amp;"__UNCORE__CHA__CHA"&amp;AL25&amp;"__UTIL__MC_ADDR"&amp;$B$1,cha_mc[VisualId]&amp;cha_mc[UnitTestingSeqKey]&amp;cha_mc[TestName],cha_mc[TestValue],"")</f>
        <v/>
      </c>
      <c r="AP25" s="4" t="str" cm="1">
        <f t="array" ref="AP25">_xlfn.XLOOKUP($K$1&amp;$Q$1&amp;"DPMB_SOCKET0__COMPUTE"&amp;AK25&amp;"__UNCORE__CHA__CHA"&amp;AL25&amp;"__UTIL__MC_MISC"&amp;$B$1,cha_mc[VisualId]&amp;cha_mc[UnitTestingSeqKey]&amp;cha_mc[TestName],cha_mc[TestValue],"")</f>
        <v/>
      </c>
      <c r="AQ25" s="30"/>
      <c r="AR25" s="30"/>
      <c r="AS25" s="30"/>
      <c r="AT25" s="30"/>
      <c r="AU25" s="30"/>
      <c r="AV25" s="4" t="str" cm="1">
        <f t="array" ref="AV25">_xlfn.XLOOKUP($K$1&amp;$Q$1&amp;"DPMB_SOCKET0__COMPUTE"&amp;AK25&amp;"__UNCORE__CHA__CHA"&amp;AL25&amp;"__UTIL__MC_MISC3"&amp;$B$1,cha_mc[VisualId]&amp;cha_mc[UnitTestingSeqKey]&amp;cha_mc[TestName],cha_mc[TestValue],"")</f>
        <v/>
      </c>
      <c r="AW25" s="30"/>
      <c r="AX25" s="30"/>
      <c r="AY25" s="30"/>
      <c r="AZ25" s="30"/>
      <c r="BA25" s="30"/>
    </row>
    <row r="26" spans="1:53" ht="15" customHeight="1" x14ac:dyDescent="0.3">
      <c r="A26" s="4" t="str">
        <f t="shared" si="0"/>
        <v>74X97M1000031</v>
      </c>
      <c r="B26" s="4" t="str">
        <f t="shared" si="1"/>
        <v>1-1</v>
      </c>
      <c r="C26" s="4">
        <v>0</v>
      </c>
      <c r="D26" s="4">
        <v>22</v>
      </c>
      <c r="E26" s="4" t="str" cm="1">
        <f t="array" ref="E26">_xlfn.XLOOKUP(A26&amp;B26&amp;$E$1&amp;"DPMB_SOCKET0__COMPUTE"&amp;C26&amp;"__CPU__CORE"&amp;Check!D26&amp;"__ML2_CR_MC3_STATUS"&amp;$B$1,core_mc[VisualId]&amp;core_mc[PPVRun_MC]&amp;core_mc[Lot]&amp;core_mc[TestNameWithoutNumeric],core_mc[TestValue],"")</f>
        <v/>
      </c>
      <c r="F26" s="4">
        <v>22</v>
      </c>
      <c r="G26" s="4" t="str" cm="1">
        <f t="array" ref="G26">_xlfn.XLOOKUP(A26&amp;B26&amp;$E$1&amp;"DPMB_SOCKET0__COMPUTE"&amp;C26&amp;"__UNCORE__CHA__CHA"&amp;Check!F26&amp;"__UTIL__MC_STATUS"&amp;$B$1,cha_mc[VisualId]&amp;cha_mc[PPVRun_MC]&amp;cha_mc[Lot]&amp;cha_mc[TestNameWithoutNumeric],cha_mc[TestValue],"")</f>
        <v/>
      </c>
      <c r="H26" s="4" t="str">
        <f t="shared" si="2"/>
        <v/>
      </c>
      <c r="J26" s="45"/>
      <c r="K26" s="46"/>
      <c r="L26" s="46"/>
      <c r="M26" s="46"/>
      <c r="N26" s="46"/>
      <c r="O26" s="46"/>
      <c r="P26" s="46"/>
      <c r="Q26" s="46"/>
      <c r="R26" s="46"/>
      <c r="S26" s="46"/>
      <c r="T26" s="46"/>
      <c r="U26" s="46"/>
      <c r="V26" s="46"/>
      <c r="W26" s="46"/>
      <c r="X26" s="46"/>
      <c r="Y26" s="46"/>
      <c r="Z26" s="46"/>
      <c r="AA26" s="46"/>
      <c r="AB26" s="46"/>
      <c r="AC26" s="46"/>
      <c r="AD26" s="46"/>
      <c r="AE26" s="37"/>
      <c r="AK26" s="4" t="str">
        <f t="shared" si="3"/>
        <v/>
      </c>
      <c r="AL26" s="4"/>
      <c r="AM26" s="4" t="str">
        <f t="shared" si="4"/>
        <v/>
      </c>
      <c r="AN26" s="4" t="str">
        <f>IFERROR(_xlfn.XLOOKUP(HEX2DEC(MID(AM26,LEN(AM26)-7,4)),mscod[MSCOD_BY_VAL],mscod[Description],""),"")</f>
        <v/>
      </c>
      <c r="AO26" s="4" t="str" cm="1">
        <f t="array" ref="AO26">_xlfn.XLOOKUP($K$1&amp;$Q$1&amp;"DPMB_SOCKET0__COMPUTE"&amp;AK26&amp;"__UNCORE__CHA__CHA"&amp;AL26&amp;"__UTIL__MC_ADDR"&amp;$B$1,cha_mc[VisualId]&amp;cha_mc[UnitTestingSeqKey]&amp;cha_mc[TestName],cha_mc[TestValue],"")</f>
        <v/>
      </c>
      <c r="AP26" s="4" t="str" cm="1">
        <f t="array" ref="AP26">_xlfn.XLOOKUP($K$1&amp;$Q$1&amp;"DPMB_SOCKET0__COMPUTE"&amp;AK26&amp;"__UNCORE__CHA__CHA"&amp;AL26&amp;"__UTIL__MC_MISC"&amp;$B$1,cha_mc[VisualId]&amp;cha_mc[UnitTestingSeqKey]&amp;cha_mc[TestName],cha_mc[TestValue],"")</f>
        <v/>
      </c>
      <c r="AQ26" s="30"/>
      <c r="AR26" s="30"/>
      <c r="AS26" s="30"/>
      <c r="AT26" s="30"/>
      <c r="AU26" s="30"/>
      <c r="AV26" s="4" t="str" cm="1">
        <f t="array" ref="AV26">_xlfn.XLOOKUP($K$1&amp;$Q$1&amp;"DPMB_SOCKET0__COMPUTE"&amp;AK26&amp;"__UNCORE__CHA__CHA"&amp;AL26&amp;"__UTIL__MC_MISC3"&amp;$B$1,cha_mc[VisualId]&amp;cha_mc[UnitTestingSeqKey]&amp;cha_mc[TestName],cha_mc[TestValue],"")</f>
        <v/>
      </c>
      <c r="AW26" s="30"/>
      <c r="AX26" s="30"/>
      <c r="AY26" s="30"/>
      <c r="AZ26" s="30"/>
      <c r="BA26" s="30"/>
    </row>
    <row r="27" spans="1:53" x14ac:dyDescent="0.3">
      <c r="A27" s="4" t="str">
        <f t="shared" si="0"/>
        <v>74X97M1000031</v>
      </c>
      <c r="B27" s="4" t="str">
        <f t="shared" si="1"/>
        <v>1-1</v>
      </c>
      <c r="C27" s="4">
        <v>0</v>
      </c>
      <c r="D27" s="4">
        <v>23</v>
      </c>
      <c r="E27" s="4" t="str" cm="1">
        <f t="array" ref="E27">_xlfn.XLOOKUP(A27&amp;B27&amp;$E$1&amp;"DPMB_SOCKET0__COMPUTE"&amp;C27&amp;"__CPU__CORE"&amp;Check!D27&amp;"__ML2_CR_MC3_STATUS"&amp;$B$1,core_mc[VisualId]&amp;core_mc[PPVRun_MC]&amp;core_mc[Lot]&amp;core_mc[TestNameWithoutNumeric],core_mc[TestValue],"")</f>
        <v/>
      </c>
      <c r="F27" s="4">
        <v>23</v>
      </c>
      <c r="G27" s="4" t="str" cm="1">
        <f t="array" ref="G27">_xlfn.XLOOKUP(A27&amp;B27&amp;$E$1&amp;"DPMB_SOCKET0__COMPUTE"&amp;C27&amp;"__UNCORE__CHA__CHA"&amp;Check!F27&amp;"__UTIL__MC_STATUS"&amp;$B$1,cha_mc[VisualId]&amp;cha_mc[PPVRun_MC]&amp;cha_mc[Lot]&amp;cha_mc[TestNameWithoutNumeric],cha_mc[TestValue],"")</f>
        <v/>
      </c>
      <c r="H27" s="4" t="str">
        <f t="shared" si="2"/>
        <v/>
      </c>
      <c r="J27" s="1" t="s">
        <v>162</v>
      </c>
      <c r="K27" s="44" t="s">
        <v>151</v>
      </c>
      <c r="L27" s="37"/>
      <c r="M27" s="44" t="s">
        <v>151</v>
      </c>
      <c r="N27" s="37"/>
      <c r="O27" s="44" t="s">
        <v>151</v>
      </c>
      <c r="P27" s="37"/>
      <c r="Q27" s="44" t="s">
        <v>151</v>
      </c>
      <c r="R27" s="37"/>
      <c r="S27" s="44" t="s">
        <v>151</v>
      </c>
      <c r="T27" s="37"/>
      <c r="U27" s="44" t="s">
        <v>151</v>
      </c>
      <c r="V27" s="37"/>
      <c r="W27" s="44" t="s">
        <v>151</v>
      </c>
      <c r="X27" s="37"/>
      <c r="Y27" s="44" t="s">
        <v>151</v>
      </c>
      <c r="Z27" s="37"/>
      <c r="AA27" s="44" t="s">
        <v>151</v>
      </c>
      <c r="AB27" s="37"/>
      <c r="AC27" s="44" t="s">
        <v>151</v>
      </c>
      <c r="AD27" s="37"/>
      <c r="AE27" s="1" t="s">
        <v>162</v>
      </c>
      <c r="AK27" s="4" t="str">
        <f t="shared" si="3"/>
        <v/>
      </c>
      <c r="AL27" s="4"/>
      <c r="AM27" s="4" t="str">
        <f t="shared" si="4"/>
        <v/>
      </c>
      <c r="AN27" s="4" t="str">
        <f>IFERROR(_xlfn.XLOOKUP(HEX2DEC(MID(AM27,LEN(AM27)-7,4)),mscod[MSCOD_BY_VAL],mscod[Description],""),"")</f>
        <v/>
      </c>
      <c r="AO27" s="4" t="str" cm="1">
        <f t="array" ref="AO27">_xlfn.XLOOKUP($K$1&amp;$Q$1&amp;"DPMB_SOCKET0__COMPUTE"&amp;AK27&amp;"__UNCORE__CHA__CHA"&amp;AL27&amp;"__UTIL__MC_ADDR"&amp;$B$1,cha_mc[VisualId]&amp;cha_mc[UnitTestingSeqKey]&amp;cha_mc[TestName],cha_mc[TestValue],"")</f>
        <v/>
      </c>
      <c r="AP27" s="4" t="str" cm="1">
        <f t="array" ref="AP27">_xlfn.XLOOKUP($K$1&amp;$Q$1&amp;"DPMB_SOCKET0__COMPUTE"&amp;AK27&amp;"__UNCORE__CHA__CHA"&amp;AL27&amp;"__UTIL__MC_MISC"&amp;$B$1,cha_mc[VisualId]&amp;cha_mc[UnitTestingSeqKey]&amp;cha_mc[TestName],cha_mc[TestValue],"")</f>
        <v/>
      </c>
      <c r="AQ27" s="30"/>
      <c r="AR27" s="30"/>
      <c r="AS27" s="30"/>
      <c r="AT27" s="30"/>
      <c r="AU27" s="30"/>
      <c r="AV27" s="4" t="str" cm="1">
        <f t="array" ref="AV27">_xlfn.XLOOKUP($K$1&amp;$Q$1&amp;"DPMB_SOCKET0__COMPUTE"&amp;AK27&amp;"__UNCORE__CHA__CHA"&amp;AL27&amp;"__UTIL__MC_MISC3"&amp;$B$1,cha_mc[VisualId]&amp;cha_mc[UnitTestingSeqKey]&amp;cha_mc[TestName],cha_mc[TestValue],"")</f>
        <v/>
      </c>
      <c r="AW27" s="30"/>
      <c r="AX27" s="30"/>
      <c r="AY27" s="30"/>
      <c r="AZ27" s="30"/>
      <c r="BA27" s="30"/>
    </row>
    <row r="28" spans="1:53" x14ac:dyDescent="0.3">
      <c r="A28" s="4" t="str">
        <f t="shared" si="0"/>
        <v>74X97M1000031</v>
      </c>
      <c r="B28" s="4" t="str">
        <f t="shared" si="1"/>
        <v>1-1</v>
      </c>
      <c r="C28" s="4">
        <v>0</v>
      </c>
      <c r="D28" s="4">
        <v>24</v>
      </c>
      <c r="E28" s="4" t="str" cm="1">
        <f t="array" ref="E28">_xlfn.XLOOKUP(A28&amp;B28&amp;$E$1&amp;"DPMB_SOCKET0__COMPUTE"&amp;C28&amp;"__CPU__CORE"&amp;Check!D28&amp;"__ML2_CR_MC3_STATUS"&amp;$B$1,core_mc[VisualId]&amp;core_mc[PPVRun_MC]&amp;core_mc[Lot]&amp;core_mc[TestNameWithoutNumeric],core_mc[TestValue],"")</f>
        <v/>
      </c>
      <c r="F28" s="4">
        <v>24</v>
      </c>
      <c r="G28" s="4" t="str" cm="1">
        <f t="array" ref="G28">_xlfn.XLOOKUP(A28&amp;B28&amp;$E$1&amp;"DPMB_SOCKET0__COMPUTE"&amp;C28&amp;"__UNCORE__CHA__CHA"&amp;Check!F28&amp;"__UTIL__MC_STATUS"&amp;$B$1,cha_mc[VisualId]&amp;cha_mc[PPVRun_MC]&amp;cha_mc[Lot]&amp;cha_mc[TestNameWithoutNumeric],cha_mc[TestValue],"")</f>
        <v/>
      </c>
      <c r="H28" s="4" t="str">
        <f t="shared" si="2"/>
        <v/>
      </c>
      <c r="J28" s="36">
        <v>1</v>
      </c>
      <c r="K28" s="52">
        <f>K11+60</f>
        <v>60</v>
      </c>
      <c r="L28" s="5" t="str">
        <f>"CORE"&amp;K28</f>
        <v>CORE60</v>
      </c>
      <c r="M28" s="52">
        <f>M11+60</f>
        <v>62</v>
      </c>
      <c r="N28" s="5" t="str">
        <f>"CORE"&amp;M28</f>
        <v>CORE62</v>
      </c>
      <c r="O28" s="52">
        <f>O11+60</f>
        <v>69</v>
      </c>
      <c r="P28" s="5" t="str">
        <f>"CORE"&amp;O28</f>
        <v>CORE69</v>
      </c>
      <c r="Q28" s="52">
        <f>Q11+60</f>
        <v>76</v>
      </c>
      <c r="R28" s="5" t="str">
        <f>"CORE"&amp;Q28</f>
        <v>CORE76</v>
      </c>
      <c r="S28" s="52">
        <f>S11+60</f>
        <v>83</v>
      </c>
      <c r="T28" s="5" t="str">
        <f>"CORE"&amp;S28</f>
        <v>CORE83</v>
      </c>
      <c r="U28" s="52">
        <f>U11+60</f>
        <v>90</v>
      </c>
      <c r="V28" s="5" t="str">
        <f>"CORE"&amp;U28</f>
        <v>CORE90</v>
      </c>
      <c r="W28" s="52">
        <f>W11+60</f>
        <v>97</v>
      </c>
      <c r="X28" s="5" t="str">
        <f>"CORE"&amp;W28</f>
        <v>CORE97</v>
      </c>
      <c r="Y28" s="52">
        <f>Y11+60</f>
        <v>104</v>
      </c>
      <c r="Z28" s="5" t="str">
        <f>"CORE"&amp;Y28</f>
        <v>CORE104</v>
      </c>
      <c r="AA28" s="52">
        <f>AA11+60</f>
        <v>111</v>
      </c>
      <c r="AB28" s="5" t="str">
        <f>"CORE"&amp;AA28</f>
        <v>CORE111</v>
      </c>
      <c r="AC28" s="52">
        <f>AC11+60</f>
        <v>118</v>
      </c>
      <c r="AD28" s="5" t="str">
        <f>"CORE"&amp;AC28</f>
        <v>CORE118</v>
      </c>
      <c r="AE28" s="36">
        <v>1</v>
      </c>
      <c r="AK28" s="4" t="str">
        <f t="shared" si="3"/>
        <v/>
      </c>
      <c r="AL28" s="4"/>
      <c r="AM28" s="4" t="str">
        <f t="shared" si="4"/>
        <v/>
      </c>
      <c r="AN28" s="4" t="str">
        <f>IFERROR(_xlfn.XLOOKUP(HEX2DEC(MID(AM28,LEN(AM28)-7,4)),mscod[MSCOD_BY_VAL],mscod[Description],""),"")</f>
        <v/>
      </c>
      <c r="AO28" s="4" t="str" cm="1">
        <f t="array" ref="AO28">_xlfn.XLOOKUP($K$1&amp;$Q$1&amp;"DPMB_SOCKET0__COMPUTE"&amp;AK28&amp;"__UNCORE__CHA__CHA"&amp;AL28&amp;"__UTIL__MC_ADDR"&amp;$B$1,cha_mc[VisualId]&amp;cha_mc[UnitTestingSeqKey]&amp;cha_mc[TestName],cha_mc[TestValue],"")</f>
        <v/>
      </c>
      <c r="AP28" s="4" t="str" cm="1">
        <f t="array" ref="AP28">_xlfn.XLOOKUP($K$1&amp;$Q$1&amp;"DPMB_SOCKET0__COMPUTE"&amp;AK28&amp;"__UNCORE__CHA__CHA"&amp;AL28&amp;"__UTIL__MC_MISC"&amp;$B$1,cha_mc[VisualId]&amp;cha_mc[UnitTestingSeqKey]&amp;cha_mc[TestName],cha_mc[TestValue],"")</f>
        <v/>
      </c>
      <c r="AQ28" s="30"/>
      <c r="AR28" s="30"/>
      <c r="AS28" s="30"/>
      <c r="AT28" s="30"/>
      <c r="AU28" s="30"/>
      <c r="AV28" s="4" t="str" cm="1">
        <f t="array" ref="AV28">_xlfn.XLOOKUP($K$1&amp;$Q$1&amp;"DPMB_SOCKET0__COMPUTE"&amp;AK28&amp;"__UNCORE__CHA__CHA"&amp;AL28&amp;"__UTIL__MC_MISC3"&amp;$B$1,cha_mc[VisualId]&amp;cha_mc[UnitTestingSeqKey]&amp;cha_mc[TestName],cha_mc[TestValue],"")</f>
        <v/>
      </c>
      <c r="AW28" s="30"/>
      <c r="AX28" s="30"/>
      <c r="AY28" s="30"/>
      <c r="AZ28" s="30"/>
      <c r="BA28" s="30"/>
    </row>
    <row r="29" spans="1:53" x14ac:dyDescent="0.3">
      <c r="A29" s="4" t="str">
        <f t="shared" si="0"/>
        <v>74X97M1000031</v>
      </c>
      <c r="B29" s="4" t="str">
        <f t="shared" si="1"/>
        <v>1-1</v>
      </c>
      <c r="C29" s="4">
        <v>0</v>
      </c>
      <c r="D29" s="4">
        <v>25</v>
      </c>
      <c r="E29" s="4" t="str" cm="1">
        <f t="array" ref="E29">_xlfn.XLOOKUP(A29&amp;B29&amp;$E$1&amp;"DPMB_SOCKET0__COMPUTE"&amp;C29&amp;"__CPU__CORE"&amp;Check!D29&amp;"__ML2_CR_MC3_STATUS"&amp;$B$1,core_mc[VisualId]&amp;core_mc[PPVRun_MC]&amp;core_mc[Lot]&amp;core_mc[TestNameWithoutNumeric],core_mc[TestValue],"")</f>
        <v/>
      </c>
      <c r="F29" s="4">
        <v>25</v>
      </c>
      <c r="G29" s="4" t="str" cm="1">
        <f t="array" ref="G29">_xlfn.XLOOKUP(A29&amp;B29&amp;$E$1&amp;"DPMB_SOCKET0__COMPUTE"&amp;C29&amp;"__UNCORE__CHA__CHA"&amp;Check!F29&amp;"__UTIL__MC_STATUS"&amp;$B$1,cha_mc[VisualId]&amp;cha_mc[PPVRun_MC]&amp;cha_mc[Lot]&amp;cha_mc[TestNameWithoutNumeric],cha_mc[TestValue],"")</f>
        <v/>
      </c>
      <c r="H29" s="4" t="str">
        <f t="shared" si="2"/>
        <v/>
      </c>
      <c r="J29" s="51"/>
      <c r="K29" s="51"/>
      <c r="L29" s="5" t="str">
        <f>"CHA"&amp;K28</f>
        <v>CHA60</v>
      </c>
      <c r="M29" s="51"/>
      <c r="N29" s="5" t="str">
        <f>"CHA"&amp;M28</f>
        <v>CHA62</v>
      </c>
      <c r="O29" s="51"/>
      <c r="P29" s="5" t="str">
        <f>"CHA"&amp;O28</f>
        <v>CHA69</v>
      </c>
      <c r="Q29" s="51"/>
      <c r="R29" s="5" t="str">
        <f>"CHA"&amp;Q28</f>
        <v>CHA76</v>
      </c>
      <c r="S29" s="51"/>
      <c r="T29" s="5" t="str">
        <f>"CHA"&amp;S28</f>
        <v>CHA83</v>
      </c>
      <c r="U29" s="51"/>
      <c r="V29" s="5" t="str">
        <f>"CHA"&amp;U28</f>
        <v>CHA90</v>
      </c>
      <c r="W29" s="51"/>
      <c r="X29" s="5" t="str">
        <f>"CHA"&amp;W28</f>
        <v>CHA97</v>
      </c>
      <c r="Y29" s="51"/>
      <c r="Z29" s="5" t="str">
        <f>"CHA"&amp;Y28</f>
        <v>CHA104</v>
      </c>
      <c r="AA29" s="51"/>
      <c r="AB29" s="5" t="str">
        <f>"CHA"&amp;AA28</f>
        <v>CHA111</v>
      </c>
      <c r="AC29" s="51"/>
      <c r="AD29" s="5" t="str">
        <f>"CHA"&amp;AC28</f>
        <v>CHA118</v>
      </c>
      <c r="AE29" s="51"/>
      <c r="AK29" s="4" t="str">
        <f t="shared" si="3"/>
        <v/>
      </c>
      <c r="AL29" s="4"/>
      <c r="AM29" s="4" t="str">
        <f t="shared" si="4"/>
        <v/>
      </c>
      <c r="AN29" s="4" t="str">
        <f>IFERROR(_xlfn.XLOOKUP(HEX2DEC(MID(AM29,LEN(AM29)-7,4)),mscod[MSCOD_BY_VAL],mscod[Description],""),"")</f>
        <v/>
      </c>
      <c r="AO29" s="4" t="str" cm="1">
        <f t="array" ref="AO29">_xlfn.XLOOKUP($K$1&amp;$Q$1&amp;"DPMB_SOCKET0__COMPUTE"&amp;AK29&amp;"__UNCORE__CHA__CHA"&amp;AL29&amp;"__UTIL__MC_ADDR"&amp;$B$1,cha_mc[VisualId]&amp;cha_mc[UnitTestingSeqKey]&amp;cha_mc[TestName],cha_mc[TestValue],"")</f>
        <v/>
      </c>
      <c r="AP29" s="4" t="str" cm="1">
        <f t="array" ref="AP29">_xlfn.XLOOKUP($K$1&amp;$Q$1&amp;"DPMB_SOCKET0__COMPUTE"&amp;AK29&amp;"__UNCORE__CHA__CHA"&amp;AL29&amp;"__UTIL__MC_MISC"&amp;$B$1,cha_mc[VisualId]&amp;cha_mc[UnitTestingSeqKey]&amp;cha_mc[TestName],cha_mc[TestValue],"")</f>
        <v/>
      </c>
      <c r="AQ29" s="30"/>
      <c r="AR29" s="30"/>
      <c r="AS29" s="30"/>
      <c r="AT29" s="30"/>
      <c r="AU29" s="30"/>
      <c r="AV29" s="4" t="str" cm="1">
        <f t="array" ref="AV29">_xlfn.XLOOKUP($K$1&amp;$Q$1&amp;"DPMB_SOCKET0__COMPUTE"&amp;AK29&amp;"__UNCORE__CHA__CHA"&amp;AL29&amp;"__UTIL__MC_MISC3"&amp;$B$1,cha_mc[VisualId]&amp;cha_mc[UnitTestingSeqKey]&amp;cha_mc[TestName],cha_mc[TestValue],"")</f>
        <v/>
      </c>
      <c r="AW29" s="30"/>
      <c r="AX29" s="30"/>
      <c r="AY29" s="30"/>
      <c r="AZ29" s="30"/>
      <c r="BA29" s="30"/>
    </row>
    <row r="30" spans="1:53" x14ac:dyDescent="0.3">
      <c r="A30" s="4" t="str">
        <f t="shared" si="0"/>
        <v>74X97M1000031</v>
      </c>
      <c r="B30" s="4" t="str">
        <f t="shared" si="1"/>
        <v>1-1</v>
      </c>
      <c r="C30" s="4">
        <v>0</v>
      </c>
      <c r="D30" s="4">
        <v>26</v>
      </c>
      <c r="E30" s="4" t="str" cm="1">
        <f t="array" ref="E30">_xlfn.XLOOKUP(A30&amp;B30&amp;$E$1&amp;"DPMB_SOCKET0__COMPUTE"&amp;C30&amp;"__CPU__CORE"&amp;Check!D30&amp;"__ML2_CR_MC3_STATUS"&amp;$B$1,core_mc[VisualId]&amp;core_mc[PPVRun_MC]&amp;core_mc[Lot]&amp;core_mc[TestNameWithoutNumeric],core_mc[TestValue],"")</f>
        <v/>
      </c>
      <c r="F30" s="4">
        <v>26</v>
      </c>
      <c r="G30" s="4" t="str" cm="1">
        <f t="array" ref="G30">_xlfn.XLOOKUP(A30&amp;B30&amp;$E$1&amp;"DPMB_SOCKET0__COMPUTE"&amp;C30&amp;"__UNCORE__CHA__CHA"&amp;Check!F30&amp;"__UTIL__MC_STATUS"&amp;$B$1,cha_mc[VisualId]&amp;cha_mc[PPVRun_MC]&amp;cha_mc[Lot]&amp;cha_mc[TestNameWithoutNumeric],cha_mc[TestValue],"")</f>
        <v/>
      </c>
      <c r="H30" s="4" t="str">
        <f t="shared" si="2"/>
        <v/>
      </c>
      <c r="J30" s="36">
        <v>2</v>
      </c>
      <c r="K30" s="52">
        <f>K13+60</f>
        <v>61</v>
      </c>
      <c r="L30" s="5" t="str">
        <f>"CORE"&amp;K30</f>
        <v>CORE61</v>
      </c>
      <c r="M30" s="52">
        <f>M13+60</f>
        <v>63</v>
      </c>
      <c r="N30" s="5" t="str">
        <f>"CORE"&amp;M30</f>
        <v>CORE63</v>
      </c>
      <c r="O30" s="52">
        <f>O13+60</f>
        <v>70</v>
      </c>
      <c r="P30" s="5" t="str">
        <f>"CORE"&amp;O30</f>
        <v>CORE70</v>
      </c>
      <c r="Q30" s="52">
        <f>Q13+60</f>
        <v>77</v>
      </c>
      <c r="R30" s="5" t="str">
        <f>"CORE"&amp;Q30</f>
        <v>CORE77</v>
      </c>
      <c r="S30" s="52">
        <f>S13+60</f>
        <v>84</v>
      </c>
      <c r="T30" s="5" t="str">
        <f>"CORE"&amp;S30</f>
        <v>CORE84</v>
      </c>
      <c r="U30" s="52">
        <f>U13+60</f>
        <v>91</v>
      </c>
      <c r="V30" s="5" t="str">
        <f>"CORE"&amp;U30</f>
        <v>CORE91</v>
      </c>
      <c r="W30" s="52">
        <f>W13+60</f>
        <v>98</v>
      </c>
      <c r="X30" s="5" t="str">
        <f>"CORE"&amp;W30</f>
        <v>CORE98</v>
      </c>
      <c r="Y30" s="52">
        <f>Y13+60</f>
        <v>105</v>
      </c>
      <c r="Z30" s="5" t="str">
        <f>"CORE"&amp;Y30</f>
        <v>CORE105</v>
      </c>
      <c r="AA30" s="52">
        <f>AA13+60</f>
        <v>112</v>
      </c>
      <c r="AB30" s="5" t="str">
        <f>"CORE"&amp;AA30</f>
        <v>CORE112</v>
      </c>
      <c r="AC30" s="52">
        <f>AC13+60</f>
        <v>119</v>
      </c>
      <c r="AD30" s="5" t="str">
        <f>"CORE"&amp;AC30</f>
        <v>CORE119</v>
      </c>
      <c r="AE30" s="36">
        <v>2</v>
      </c>
      <c r="AK30" s="4" t="str">
        <f t="shared" si="3"/>
        <v/>
      </c>
      <c r="AL30" s="4"/>
      <c r="AM30" s="4" t="str">
        <f t="shared" si="4"/>
        <v/>
      </c>
      <c r="AN30" s="4" t="str">
        <f>IFERROR(_xlfn.XLOOKUP(HEX2DEC(MID(AM30,LEN(AM30)-7,4)),mscod[MSCOD_BY_VAL],mscod[Description],""),"")</f>
        <v/>
      </c>
      <c r="AO30" s="4" t="str" cm="1">
        <f t="array" ref="AO30">_xlfn.XLOOKUP($K$1&amp;$Q$1&amp;"DPMB_SOCKET0__COMPUTE"&amp;AK30&amp;"__UNCORE__CHA__CHA"&amp;AL30&amp;"__UTIL__MC_ADDR"&amp;$B$1,cha_mc[VisualId]&amp;cha_mc[UnitTestingSeqKey]&amp;cha_mc[TestName],cha_mc[TestValue],"")</f>
        <v/>
      </c>
      <c r="AP30" s="4" t="str" cm="1">
        <f t="array" ref="AP30">_xlfn.XLOOKUP($K$1&amp;$Q$1&amp;"DPMB_SOCKET0__COMPUTE"&amp;AK30&amp;"__UNCORE__CHA__CHA"&amp;AL30&amp;"__UTIL__MC_MISC"&amp;$B$1,cha_mc[VisualId]&amp;cha_mc[UnitTestingSeqKey]&amp;cha_mc[TestName],cha_mc[TestValue],"")</f>
        <v/>
      </c>
      <c r="AQ30" s="30"/>
      <c r="AR30" s="30"/>
      <c r="AS30" s="30"/>
      <c r="AT30" s="30"/>
      <c r="AU30" s="30"/>
      <c r="AV30" s="4" t="str" cm="1">
        <f t="array" ref="AV30">_xlfn.XLOOKUP($K$1&amp;$Q$1&amp;"DPMB_SOCKET0__COMPUTE"&amp;AK30&amp;"__UNCORE__CHA__CHA"&amp;AL30&amp;"__UTIL__MC_MISC3"&amp;$B$1,cha_mc[VisualId]&amp;cha_mc[UnitTestingSeqKey]&amp;cha_mc[TestName],cha_mc[TestValue],"")</f>
        <v/>
      </c>
      <c r="AW30" s="30"/>
      <c r="AX30" s="30"/>
      <c r="AY30" s="30"/>
      <c r="AZ30" s="30"/>
      <c r="BA30" s="30"/>
    </row>
    <row r="31" spans="1:53" x14ac:dyDescent="0.3">
      <c r="A31" s="4" t="str">
        <f t="shared" si="0"/>
        <v>74X97M1000031</v>
      </c>
      <c r="B31" s="4" t="str">
        <f t="shared" si="1"/>
        <v>1-1</v>
      </c>
      <c r="C31" s="4">
        <v>0</v>
      </c>
      <c r="D31" s="4">
        <v>27</v>
      </c>
      <c r="E31" s="4" t="str" cm="1">
        <f t="array" ref="E31">_xlfn.XLOOKUP(A31&amp;B31&amp;$E$1&amp;"DPMB_SOCKET0__COMPUTE"&amp;C31&amp;"__CPU__CORE"&amp;Check!D31&amp;"__ML2_CR_MC3_STATUS"&amp;$B$1,core_mc[VisualId]&amp;core_mc[PPVRun_MC]&amp;core_mc[Lot]&amp;core_mc[TestNameWithoutNumeric],core_mc[TestValue],"")</f>
        <v/>
      </c>
      <c r="F31" s="4">
        <v>27</v>
      </c>
      <c r="G31" s="4" t="str" cm="1">
        <f t="array" ref="G31">_xlfn.XLOOKUP(A31&amp;B31&amp;$E$1&amp;"DPMB_SOCKET0__COMPUTE"&amp;C31&amp;"__UNCORE__CHA__CHA"&amp;Check!F31&amp;"__UTIL__MC_STATUS"&amp;$B$1,cha_mc[VisualId]&amp;cha_mc[PPVRun_MC]&amp;cha_mc[Lot]&amp;cha_mc[TestNameWithoutNumeric],cha_mc[TestValue],"")</f>
        <v/>
      </c>
      <c r="H31" s="4" t="str">
        <f t="shared" si="2"/>
        <v/>
      </c>
      <c r="J31" s="51"/>
      <c r="K31" s="51"/>
      <c r="L31" s="5" t="str">
        <f>"CHA"&amp;K30</f>
        <v>CHA61</v>
      </c>
      <c r="M31" s="51"/>
      <c r="N31" s="5" t="str">
        <f>"CHA"&amp;M30</f>
        <v>CHA63</v>
      </c>
      <c r="O31" s="51"/>
      <c r="P31" s="5" t="str">
        <f>"CHA"&amp;O30</f>
        <v>CHA70</v>
      </c>
      <c r="Q31" s="51"/>
      <c r="R31" s="5" t="str">
        <f>"CHA"&amp;Q30</f>
        <v>CHA77</v>
      </c>
      <c r="S31" s="51"/>
      <c r="T31" s="5" t="str">
        <f>"CHA"&amp;S30</f>
        <v>CHA84</v>
      </c>
      <c r="U31" s="51"/>
      <c r="V31" s="5" t="str">
        <f>"CHA"&amp;U30</f>
        <v>CHA91</v>
      </c>
      <c r="W31" s="51"/>
      <c r="X31" s="5" t="str">
        <f>"CHA"&amp;W30</f>
        <v>CHA98</v>
      </c>
      <c r="Y31" s="51"/>
      <c r="Z31" s="5" t="str">
        <f>"CHA"&amp;Y30</f>
        <v>CHA105</v>
      </c>
      <c r="AA31" s="51"/>
      <c r="AB31" s="5" t="str">
        <f>"CHA"&amp;AA30</f>
        <v>CHA112</v>
      </c>
      <c r="AC31" s="51"/>
      <c r="AD31" s="5" t="str">
        <f>"CHA"&amp;AC30</f>
        <v>CHA119</v>
      </c>
      <c r="AE31" s="51"/>
      <c r="AK31" s="4" t="str">
        <f t="shared" si="3"/>
        <v/>
      </c>
      <c r="AL31" s="4"/>
      <c r="AM31" s="4" t="str">
        <f t="shared" si="4"/>
        <v/>
      </c>
      <c r="AN31" s="4" t="str">
        <f>IFERROR(_xlfn.XLOOKUP(HEX2DEC(MID(AM31,LEN(AM31)-7,4)),mscod[MSCOD_BY_VAL],mscod[Description],""),"")</f>
        <v/>
      </c>
      <c r="AO31" s="4" t="str" cm="1">
        <f t="array" ref="AO31">_xlfn.XLOOKUP($K$1&amp;$Q$1&amp;"DPMB_SOCKET0__COMPUTE"&amp;AK31&amp;"__UNCORE__CHA__CHA"&amp;AL31&amp;"__UTIL__MC_ADDR"&amp;$B$1,cha_mc[VisualId]&amp;cha_mc[UnitTestingSeqKey]&amp;cha_mc[TestName],cha_mc[TestValue],"")</f>
        <v/>
      </c>
      <c r="AP31" s="4" t="str" cm="1">
        <f t="array" ref="AP31">_xlfn.XLOOKUP($K$1&amp;$Q$1&amp;"DPMB_SOCKET0__COMPUTE"&amp;AK31&amp;"__UNCORE__CHA__CHA"&amp;AL31&amp;"__UTIL__MC_MISC"&amp;$B$1,cha_mc[VisualId]&amp;cha_mc[UnitTestingSeqKey]&amp;cha_mc[TestName],cha_mc[TestValue],"")</f>
        <v/>
      </c>
      <c r="AQ31" s="30"/>
      <c r="AR31" s="30"/>
      <c r="AS31" s="30"/>
      <c r="AT31" s="30"/>
      <c r="AU31" s="30"/>
      <c r="AV31" s="4" t="str" cm="1">
        <f t="array" ref="AV31">_xlfn.XLOOKUP($K$1&amp;$Q$1&amp;"DPMB_SOCKET0__COMPUTE"&amp;AK31&amp;"__UNCORE__CHA__CHA"&amp;AL31&amp;"__UTIL__MC_MISC3"&amp;$B$1,cha_mc[VisualId]&amp;cha_mc[UnitTestingSeqKey]&amp;cha_mc[TestName],cha_mc[TestValue],"")</f>
        <v/>
      </c>
      <c r="AW31" s="30"/>
      <c r="AX31" s="30"/>
      <c r="AY31" s="30"/>
      <c r="AZ31" s="30"/>
      <c r="BA31" s="30"/>
    </row>
    <row r="32" spans="1:53" x14ac:dyDescent="0.3">
      <c r="A32" s="4" t="str">
        <f t="shared" si="0"/>
        <v>74X97M1000031</v>
      </c>
      <c r="B32" s="4" t="str">
        <f t="shared" si="1"/>
        <v>1-1</v>
      </c>
      <c r="C32" s="4">
        <v>0</v>
      </c>
      <c r="D32" s="4">
        <v>28</v>
      </c>
      <c r="E32" s="4" t="str" cm="1">
        <f t="array" ref="E32">_xlfn.XLOOKUP(A32&amp;B32&amp;$E$1&amp;"DPMB_SOCKET0__COMPUTE"&amp;C32&amp;"__CPU__CORE"&amp;Check!D32&amp;"__ML2_CR_MC3_STATUS"&amp;$B$1,core_mc[VisualId]&amp;core_mc[PPVRun_MC]&amp;core_mc[Lot]&amp;core_mc[TestNameWithoutNumeric],core_mc[TestValue],"")</f>
        <v/>
      </c>
      <c r="F32" s="4">
        <v>28</v>
      </c>
      <c r="G32" s="4" t="str" cm="1">
        <f t="array" ref="G32">_xlfn.XLOOKUP(A32&amp;B32&amp;$E$1&amp;"DPMB_SOCKET0__COMPUTE"&amp;C32&amp;"__UNCORE__CHA__CHA"&amp;Check!F32&amp;"__UTIL__MC_STATUS"&amp;$B$1,cha_mc[VisualId]&amp;cha_mc[PPVRun_MC]&amp;cha_mc[Lot]&amp;cha_mc[TestNameWithoutNumeric],cha_mc[TestValue],"")</f>
        <v/>
      </c>
      <c r="H32" s="4" t="str">
        <f t="shared" si="2"/>
        <v/>
      </c>
      <c r="J32" s="36">
        <v>3</v>
      </c>
      <c r="K32" s="53" t="s">
        <v>153</v>
      </c>
      <c r="L32" s="55"/>
      <c r="M32" s="53">
        <f>M15+60</f>
        <v>64</v>
      </c>
      <c r="N32" s="14" t="str">
        <f>"CORE"&amp;M32</f>
        <v>CORE64</v>
      </c>
      <c r="O32" s="53">
        <f>O15+60</f>
        <v>71</v>
      </c>
      <c r="P32" s="14" t="str">
        <f>"CORE"&amp;O32</f>
        <v>CORE71</v>
      </c>
      <c r="Q32" s="53">
        <f>Q15+60</f>
        <v>78</v>
      </c>
      <c r="R32" s="14" t="str">
        <f>"CORE"&amp;Q32</f>
        <v>CORE78</v>
      </c>
      <c r="S32" s="53">
        <f>S15+60</f>
        <v>85</v>
      </c>
      <c r="T32" s="14" t="str">
        <f>"CORE"&amp;S32</f>
        <v>CORE85</v>
      </c>
      <c r="U32" s="53">
        <f>U15+60</f>
        <v>92</v>
      </c>
      <c r="V32" s="14" t="str">
        <f>"CORE"&amp;U32</f>
        <v>CORE92</v>
      </c>
      <c r="W32" s="53">
        <f>W15+60</f>
        <v>99</v>
      </c>
      <c r="X32" s="14" t="str">
        <f>"CORE"&amp;W32</f>
        <v>CORE99</v>
      </c>
      <c r="Y32" s="53">
        <f>Y15+60</f>
        <v>106</v>
      </c>
      <c r="Z32" s="14" t="str">
        <f>"CORE"&amp;Y32</f>
        <v>CORE106</v>
      </c>
      <c r="AA32" s="53">
        <f>AA15+60</f>
        <v>113</v>
      </c>
      <c r="AB32" s="14" t="str">
        <f>"CORE"&amp;AA32</f>
        <v>CORE113</v>
      </c>
      <c r="AC32" s="53" t="s">
        <v>154</v>
      </c>
      <c r="AD32" s="55"/>
      <c r="AE32" s="36">
        <v>3</v>
      </c>
      <c r="AK32" s="4" t="str">
        <f t="shared" si="3"/>
        <v/>
      </c>
      <c r="AL32" s="4"/>
      <c r="AM32" s="4" t="str">
        <f t="shared" si="4"/>
        <v/>
      </c>
      <c r="AN32" s="4" t="str">
        <f>IFERROR(_xlfn.XLOOKUP(HEX2DEC(MID(AM32,LEN(AM32)-7,4)),mscod[MSCOD_BY_VAL],mscod[Description],""),"")</f>
        <v/>
      </c>
      <c r="AO32" s="4" t="str" cm="1">
        <f t="array" ref="AO32">_xlfn.XLOOKUP($K$1&amp;$Q$1&amp;"DPMB_SOCKET0__COMPUTE"&amp;AK32&amp;"__UNCORE__CHA__CHA"&amp;AL32&amp;"__UTIL__MC_ADDR"&amp;$B$1,cha_mc[VisualId]&amp;cha_mc[UnitTestingSeqKey]&amp;cha_mc[TestName],cha_mc[TestValue],"")</f>
        <v/>
      </c>
      <c r="AP32" s="4" t="str" cm="1">
        <f t="array" ref="AP32">_xlfn.XLOOKUP($K$1&amp;$Q$1&amp;"DPMB_SOCKET0__COMPUTE"&amp;AK32&amp;"__UNCORE__CHA__CHA"&amp;AL32&amp;"__UTIL__MC_MISC"&amp;$B$1,cha_mc[VisualId]&amp;cha_mc[UnitTestingSeqKey]&amp;cha_mc[TestName],cha_mc[TestValue],"")</f>
        <v/>
      </c>
      <c r="AQ32" s="30"/>
      <c r="AR32" s="30"/>
      <c r="AS32" s="30"/>
      <c r="AT32" s="30"/>
      <c r="AU32" s="30"/>
      <c r="AV32" s="4" t="str" cm="1">
        <f t="array" ref="AV32">_xlfn.XLOOKUP($K$1&amp;$Q$1&amp;"DPMB_SOCKET0__COMPUTE"&amp;AK32&amp;"__UNCORE__CHA__CHA"&amp;AL32&amp;"__UTIL__MC_MISC3"&amp;$B$1,cha_mc[VisualId]&amp;cha_mc[UnitTestingSeqKey]&amp;cha_mc[TestName],cha_mc[TestValue],"")</f>
        <v/>
      </c>
      <c r="AW32" s="30"/>
      <c r="AX32" s="30"/>
      <c r="AY32" s="30"/>
      <c r="AZ32" s="30"/>
      <c r="BA32" s="30"/>
    </row>
    <row r="33" spans="1:53" x14ac:dyDescent="0.3">
      <c r="A33" s="4" t="str">
        <f t="shared" si="0"/>
        <v>74X97M1000031</v>
      </c>
      <c r="B33" s="4" t="str">
        <f t="shared" si="1"/>
        <v>1-1</v>
      </c>
      <c r="C33" s="4">
        <v>0</v>
      </c>
      <c r="D33" s="4">
        <v>29</v>
      </c>
      <c r="E33" s="4" t="str" cm="1">
        <f t="array" ref="E33">_xlfn.XLOOKUP(A33&amp;B33&amp;$E$1&amp;"DPMB_SOCKET0__COMPUTE"&amp;C33&amp;"__CPU__CORE"&amp;Check!D33&amp;"__ML2_CR_MC3_STATUS"&amp;$B$1,core_mc[VisualId]&amp;core_mc[PPVRun_MC]&amp;core_mc[Lot]&amp;core_mc[TestNameWithoutNumeric],core_mc[TestValue],"")</f>
        <v/>
      </c>
      <c r="F33" s="4">
        <v>29</v>
      </c>
      <c r="G33" s="4" t="str" cm="1">
        <f t="array" ref="G33">_xlfn.XLOOKUP(A33&amp;B33&amp;$E$1&amp;"DPMB_SOCKET0__COMPUTE"&amp;C33&amp;"__UNCORE__CHA__CHA"&amp;Check!F33&amp;"__UTIL__MC_STATUS"&amp;$B$1,cha_mc[VisualId]&amp;cha_mc[PPVRun_MC]&amp;cha_mc[Lot]&amp;cha_mc[TestNameWithoutNumeric],cha_mc[TestValue],"")</f>
        <v/>
      </c>
      <c r="H33" s="4" t="str">
        <f t="shared" si="2"/>
        <v/>
      </c>
      <c r="J33" s="51"/>
      <c r="K33" s="56"/>
      <c r="L33" s="57"/>
      <c r="M33" s="54"/>
      <c r="N33" s="14" t="str">
        <f>"CHA"&amp;M32</f>
        <v>CHA64</v>
      </c>
      <c r="O33" s="54"/>
      <c r="P33" s="14" t="str">
        <f>"CHA"&amp;O32</f>
        <v>CHA71</v>
      </c>
      <c r="Q33" s="54"/>
      <c r="R33" s="14" t="str">
        <f>"CHA"&amp;Q32</f>
        <v>CHA78</v>
      </c>
      <c r="S33" s="54"/>
      <c r="T33" s="14" t="str">
        <f>"CHA"&amp;S32</f>
        <v>CHA85</v>
      </c>
      <c r="U33" s="54"/>
      <c r="V33" s="14" t="str">
        <f>"CHA"&amp;U32</f>
        <v>CHA92</v>
      </c>
      <c r="W33" s="54"/>
      <c r="X33" s="14" t="str">
        <f>"CHA"&amp;W32</f>
        <v>CHA99</v>
      </c>
      <c r="Y33" s="54"/>
      <c r="Z33" s="14" t="str">
        <f>"CHA"&amp;Y32</f>
        <v>CHA106</v>
      </c>
      <c r="AA33" s="54"/>
      <c r="AB33" s="14" t="str">
        <f>"CHA"&amp;AA32</f>
        <v>CHA113</v>
      </c>
      <c r="AC33" s="56"/>
      <c r="AD33" s="57"/>
      <c r="AE33" s="51"/>
      <c r="AK33" s="4" t="str">
        <f t="shared" si="3"/>
        <v/>
      </c>
      <c r="AL33" s="4"/>
      <c r="AM33" s="4" t="str">
        <f t="shared" si="4"/>
        <v/>
      </c>
      <c r="AN33" s="4" t="str">
        <f>IFERROR(_xlfn.XLOOKUP(HEX2DEC(MID(AM33,LEN(AM33)-7,4)),mscod[MSCOD_BY_VAL],mscod[Description],""),"")</f>
        <v/>
      </c>
      <c r="AO33" s="4" t="str" cm="1">
        <f t="array" ref="AO33">_xlfn.XLOOKUP($K$1&amp;$Q$1&amp;"DPMB_SOCKET0__COMPUTE"&amp;AK33&amp;"__UNCORE__CHA__CHA"&amp;AL33&amp;"__UTIL__MC_ADDR"&amp;$B$1,cha_mc[VisualId]&amp;cha_mc[UnitTestingSeqKey]&amp;cha_mc[TestName],cha_mc[TestValue],"")</f>
        <v/>
      </c>
      <c r="AP33" s="4" t="str" cm="1">
        <f t="array" ref="AP33">_xlfn.XLOOKUP($K$1&amp;$Q$1&amp;"DPMB_SOCKET0__COMPUTE"&amp;AK33&amp;"__UNCORE__CHA__CHA"&amp;AL33&amp;"__UTIL__MC_MISC"&amp;$B$1,cha_mc[VisualId]&amp;cha_mc[UnitTestingSeqKey]&amp;cha_mc[TestName],cha_mc[TestValue],"")</f>
        <v/>
      </c>
      <c r="AQ33" s="30"/>
      <c r="AR33" s="30"/>
      <c r="AS33" s="30"/>
      <c r="AT33" s="30"/>
      <c r="AU33" s="30"/>
      <c r="AV33" s="4" t="str" cm="1">
        <f t="array" ref="AV33">_xlfn.XLOOKUP($K$1&amp;$Q$1&amp;"DPMB_SOCKET0__COMPUTE"&amp;AK33&amp;"__UNCORE__CHA__CHA"&amp;AL33&amp;"__UTIL__MC_MISC3"&amp;$B$1,cha_mc[VisualId]&amp;cha_mc[UnitTestingSeqKey]&amp;cha_mc[TestName],cha_mc[TestValue],"")</f>
        <v/>
      </c>
      <c r="AW33" s="30"/>
      <c r="AX33" s="30"/>
      <c r="AY33" s="30"/>
      <c r="AZ33" s="30"/>
      <c r="BA33" s="30"/>
    </row>
    <row r="34" spans="1:53" x14ac:dyDescent="0.3">
      <c r="A34" s="4" t="str">
        <f t="shared" si="0"/>
        <v>74X97M1000031</v>
      </c>
      <c r="B34" s="4" t="str">
        <f t="shared" si="1"/>
        <v>1-1</v>
      </c>
      <c r="C34" s="4">
        <v>0</v>
      </c>
      <c r="D34" s="4">
        <v>30</v>
      </c>
      <c r="E34" s="4" t="str" cm="1">
        <f t="array" ref="E34">_xlfn.XLOOKUP(A34&amp;B34&amp;$E$1&amp;"DPMB_SOCKET0__COMPUTE"&amp;C34&amp;"__CPU__CORE"&amp;Check!D34&amp;"__ML2_CR_MC3_STATUS"&amp;$B$1,core_mc[VisualId]&amp;core_mc[PPVRun_MC]&amp;core_mc[Lot]&amp;core_mc[TestNameWithoutNumeric],core_mc[TestValue],"")</f>
        <v/>
      </c>
      <c r="F34" s="4">
        <v>30</v>
      </c>
      <c r="G34" s="4" t="str" cm="1">
        <f t="array" ref="G34">_xlfn.XLOOKUP(A34&amp;B34&amp;$E$1&amp;"DPMB_SOCKET0__COMPUTE"&amp;C34&amp;"__UNCORE__CHA__CHA"&amp;Check!F34&amp;"__UTIL__MC_STATUS"&amp;$B$1,cha_mc[VisualId]&amp;cha_mc[PPVRun_MC]&amp;cha_mc[Lot]&amp;cha_mc[TestNameWithoutNumeric],cha_mc[TestValue],"")</f>
        <v/>
      </c>
      <c r="H34" s="4" t="str">
        <f t="shared" si="2"/>
        <v/>
      </c>
      <c r="J34" s="36">
        <v>4</v>
      </c>
      <c r="K34" s="53" t="s">
        <v>155</v>
      </c>
      <c r="L34" s="55"/>
      <c r="M34" s="53">
        <f>M17+60</f>
        <v>65</v>
      </c>
      <c r="N34" s="14" t="str">
        <f>"CORE"&amp;M34</f>
        <v>CORE65</v>
      </c>
      <c r="O34" s="53">
        <f>O17+60</f>
        <v>72</v>
      </c>
      <c r="P34" s="14" t="str">
        <f>"CORE"&amp;O34</f>
        <v>CORE72</v>
      </c>
      <c r="Q34" s="53">
        <f>Q17+60</f>
        <v>79</v>
      </c>
      <c r="R34" s="14" t="str">
        <f>"CORE"&amp;Q34</f>
        <v>CORE79</v>
      </c>
      <c r="S34" s="53">
        <f>S17+60</f>
        <v>86</v>
      </c>
      <c r="T34" s="14" t="str">
        <f>"CORE"&amp;S34</f>
        <v>CORE86</v>
      </c>
      <c r="U34" s="53">
        <f>U17+60</f>
        <v>93</v>
      </c>
      <c r="V34" s="14" t="str">
        <f>"CORE"&amp;U34</f>
        <v>CORE93</v>
      </c>
      <c r="W34" s="53">
        <f>W17+60</f>
        <v>100</v>
      </c>
      <c r="X34" s="14" t="str">
        <f>"CORE"&amp;W34</f>
        <v>CORE100</v>
      </c>
      <c r="Y34" s="53">
        <f>Y17+60</f>
        <v>107</v>
      </c>
      <c r="Z34" s="14" t="str">
        <f>"CORE"&amp;Y34</f>
        <v>CORE107</v>
      </c>
      <c r="AA34" s="53">
        <f>AA17+60</f>
        <v>114</v>
      </c>
      <c r="AB34" s="14" t="str">
        <f>"CORE"&amp;AA34</f>
        <v>CORE114</v>
      </c>
      <c r="AC34" s="53" t="s">
        <v>156</v>
      </c>
      <c r="AD34" s="55"/>
      <c r="AE34" s="36">
        <v>4</v>
      </c>
      <c r="AK34" s="4" t="str">
        <f t="shared" si="3"/>
        <v/>
      </c>
      <c r="AL34" s="4"/>
      <c r="AM34" s="4" t="str">
        <f t="shared" si="4"/>
        <v/>
      </c>
      <c r="AN34" s="4" t="str">
        <f>IFERROR(_xlfn.XLOOKUP(HEX2DEC(MID(AM34,LEN(AM34)-7,4)),mscod[MSCOD_BY_VAL],mscod[Description],""),"")</f>
        <v/>
      </c>
      <c r="AO34" s="4" t="str" cm="1">
        <f t="array" ref="AO34">_xlfn.XLOOKUP($K$1&amp;$Q$1&amp;"DPMB_SOCKET0__COMPUTE"&amp;AK34&amp;"__UNCORE__CHA__CHA"&amp;AL34&amp;"__UTIL__MC_ADDR"&amp;$B$1,cha_mc[VisualId]&amp;cha_mc[UnitTestingSeqKey]&amp;cha_mc[TestName],cha_mc[TestValue],"")</f>
        <v/>
      </c>
      <c r="AP34" s="4" t="str" cm="1">
        <f t="array" ref="AP34">_xlfn.XLOOKUP($K$1&amp;$Q$1&amp;"DPMB_SOCKET0__COMPUTE"&amp;AK34&amp;"__UNCORE__CHA__CHA"&amp;AL34&amp;"__UTIL__MC_MISC"&amp;$B$1,cha_mc[VisualId]&amp;cha_mc[UnitTestingSeqKey]&amp;cha_mc[TestName],cha_mc[TestValue],"")</f>
        <v/>
      </c>
      <c r="AQ34" s="30"/>
      <c r="AR34" s="30"/>
      <c r="AS34" s="30"/>
      <c r="AT34" s="30"/>
      <c r="AU34" s="30"/>
      <c r="AV34" s="4" t="str" cm="1">
        <f t="array" ref="AV34">_xlfn.XLOOKUP($K$1&amp;$Q$1&amp;"DPMB_SOCKET0__COMPUTE"&amp;AK34&amp;"__UNCORE__CHA__CHA"&amp;AL34&amp;"__UTIL__MC_MISC3"&amp;$B$1,cha_mc[VisualId]&amp;cha_mc[UnitTestingSeqKey]&amp;cha_mc[TestName],cha_mc[TestValue],"")</f>
        <v/>
      </c>
      <c r="AW34" s="30"/>
      <c r="AX34" s="30"/>
      <c r="AY34" s="30"/>
      <c r="AZ34" s="30"/>
      <c r="BA34" s="30"/>
    </row>
    <row r="35" spans="1:53" x14ac:dyDescent="0.3">
      <c r="A35" s="4" t="str">
        <f t="shared" si="0"/>
        <v>74X97M1000031</v>
      </c>
      <c r="B35" s="4" t="str">
        <f t="shared" si="1"/>
        <v>1-1</v>
      </c>
      <c r="C35" s="4">
        <v>0</v>
      </c>
      <c r="D35" s="4">
        <v>31</v>
      </c>
      <c r="E35" s="4" t="str" cm="1">
        <f t="array" ref="E35">_xlfn.XLOOKUP(A35&amp;B35&amp;$E$1&amp;"DPMB_SOCKET0__COMPUTE"&amp;C35&amp;"__CPU__CORE"&amp;Check!D35&amp;"__ML2_CR_MC3_STATUS"&amp;$B$1,core_mc[VisualId]&amp;core_mc[PPVRun_MC]&amp;core_mc[Lot]&amp;core_mc[TestNameWithoutNumeric],core_mc[TestValue],"")</f>
        <v/>
      </c>
      <c r="F35" s="4">
        <v>31</v>
      </c>
      <c r="G35" s="4" t="str" cm="1">
        <f t="array" ref="G35">_xlfn.XLOOKUP(A35&amp;B35&amp;$E$1&amp;"DPMB_SOCKET0__COMPUTE"&amp;C35&amp;"__UNCORE__CHA__CHA"&amp;Check!F35&amp;"__UTIL__MC_STATUS"&amp;$B$1,cha_mc[VisualId]&amp;cha_mc[PPVRun_MC]&amp;cha_mc[Lot]&amp;cha_mc[TestNameWithoutNumeric],cha_mc[TestValue],"")</f>
        <v/>
      </c>
      <c r="H35" s="4" t="str">
        <f t="shared" si="2"/>
        <v/>
      </c>
      <c r="J35" s="51"/>
      <c r="K35" s="56"/>
      <c r="L35" s="57"/>
      <c r="M35" s="54"/>
      <c r="N35" s="14" t="str">
        <f>"CHA"&amp;M34</f>
        <v>CHA65</v>
      </c>
      <c r="O35" s="54"/>
      <c r="P35" s="14" t="str">
        <f>"CHA"&amp;O34</f>
        <v>CHA72</v>
      </c>
      <c r="Q35" s="54"/>
      <c r="R35" s="14" t="str">
        <f>"CHA"&amp;Q34</f>
        <v>CHA79</v>
      </c>
      <c r="S35" s="54"/>
      <c r="T35" s="14" t="str">
        <f>"CHA"&amp;S34</f>
        <v>CHA86</v>
      </c>
      <c r="U35" s="54"/>
      <c r="V35" s="14" t="str">
        <f>"CHA"&amp;U34</f>
        <v>CHA93</v>
      </c>
      <c r="W35" s="54"/>
      <c r="X35" s="14" t="str">
        <f>"CHA"&amp;W34</f>
        <v>CHA100</v>
      </c>
      <c r="Y35" s="54"/>
      <c r="Z35" s="14" t="str">
        <f>"CHA"&amp;Y34</f>
        <v>CHA107</v>
      </c>
      <c r="AA35" s="54"/>
      <c r="AB35" s="14" t="str">
        <f>"CHA"&amp;AA34</f>
        <v>CHA114</v>
      </c>
      <c r="AC35" s="56"/>
      <c r="AD35" s="57"/>
      <c r="AE35" s="51"/>
      <c r="AK35" s="4" t="str">
        <f t="shared" si="3"/>
        <v/>
      </c>
      <c r="AL35" s="4"/>
      <c r="AM35" s="4" t="str">
        <f t="shared" si="4"/>
        <v/>
      </c>
      <c r="AN35" s="4" t="str">
        <f>IFERROR(_xlfn.XLOOKUP(HEX2DEC(MID(AM35,LEN(AM35)-7,4)),mscod[MSCOD_BY_VAL],mscod[Description],""),"")</f>
        <v/>
      </c>
      <c r="AO35" s="4" t="str" cm="1">
        <f t="array" ref="AO35">_xlfn.XLOOKUP($K$1&amp;$Q$1&amp;"DPMB_SOCKET0__COMPUTE"&amp;AK35&amp;"__UNCORE__CHA__CHA"&amp;AL35&amp;"__UTIL__MC_ADDR"&amp;$B$1,cha_mc[VisualId]&amp;cha_mc[UnitTestingSeqKey]&amp;cha_mc[TestName],cha_mc[TestValue],"")</f>
        <v/>
      </c>
      <c r="AP35" s="4" t="str" cm="1">
        <f t="array" ref="AP35">_xlfn.XLOOKUP($K$1&amp;$Q$1&amp;"DPMB_SOCKET0__COMPUTE"&amp;AK35&amp;"__UNCORE__CHA__CHA"&amp;AL35&amp;"__UTIL__MC_MISC"&amp;$B$1,cha_mc[VisualId]&amp;cha_mc[UnitTestingSeqKey]&amp;cha_mc[TestName],cha_mc[TestValue],"")</f>
        <v/>
      </c>
      <c r="AQ35" s="30"/>
      <c r="AR35" s="30"/>
      <c r="AS35" s="30"/>
      <c r="AT35" s="30"/>
      <c r="AU35" s="30"/>
      <c r="AV35" s="4" t="str" cm="1">
        <f t="array" ref="AV35">_xlfn.XLOOKUP($K$1&amp;$Q$1&amp;"DPMB_SOCKET0__COMPUTE"&amp;AK35&amp;"__UNCORE__CHA__CHA"&amp;AL35&amp;"__UTIL__MC_MISC3"&amp;$B$1,cha_mc[VisualId]&amp;cha_mc[UnitTestingSeqKey]&amp;cha_mc[TestName],cha_mc[TestValue],"")</f>
        <v/>
      </c>
      <c r="AW35" s="30"/>
      <c r="AX35" s="30"/>
      <c r="AY35" s="30"/>
      <c r="AZ35" s="30"/>
      <c r="BA35" s="30"/>
    </row>
    <row r="36" spans="1:53" x14ac:dyDescent="0.3">
      <c r="A36" s="4" t="str">
        <f t="shared" ref="A36:A67" si="5">$K$1</f>
        <v>74X97M1000031</v>
      </c>
      <c r="B36" s="4" t="str">
        <f t="shared" si="1"/>
        <v>1-1</v>
      </c>
      <c r="C36" s="4">
        <v>0</v>
      </c>
      <c r="D36" s="4">
        <v>32</v>
      </c>
      <c r="E36" s="4" t="str" cm="1">
        <f t="array" ref="E36">_xlfn.XLOOKUP(A36&amp;B36&amp;$E$1&amp;"DPMB_SOCKET0__COMPUTE"&amp;C36&amp;"__CPU__CORE"&amp;Check!D36&amp;"__ML2_CR_MC3_STATUS"&amp;$B$1,core_mc[VisualId]&amp;core_mc[PPVRun_MC]&amp;core_mc[Lot]&amp;core_mc[TestNameWithoutNumeric],core_mc[TestValue],"")</f>
        <v/>
      </c>
      <c r="F36" s="4">
        <v>32</v>
      </c>
      <c r="G36" s="4" t="str" cm="1">
        <f t="array" ref="G36">_xlfn.XLOOKUP(A36&amp;B36&amp;$E$1&amp;"DPMB_SOCKET0__COMPUTE"&amp;C36&amp;"__UNCORE__CHA__CHA"&amp;Check!F36&amp;"__UTIL__MC_STATUS"&amp;$B$1,cha_mc[VisualId]&amp;cha_mc[PPVRun_MC]&amp;cha_mc[Lot]&amp;cha_mc[TestNameWithoutNumeric],cha_mc[TestValue],"")</f>
        <v/>
      </c>
      <c r="H36" s="4" t="str">
        <f t="shared" si="2"/>
        <v/>
      </c>
      <c r="J36" s="36">
        <v>5</v>
      </c>
      <c r="K36" s="47" t="s">
        <v>157</v>
      </c>
      <c r="L36" s="48"/>
      <c r="M36" s="52">
        <f>M19+60</f>
        <v>66</v>
      </c>
      <c r="N36" s="5" t="str">
        <f>"CORE"&amp;M36</f>
        <v>CORE66</v>
      </c>
      <c r="O36" s="52">
        <f>O19+60</f>
        <v>73</v>
      </c>
      <c r="P36" s="5" t="str">
        <f>"CORE"&amp;O36</f>
        <v>CORE73</v>
      </c>
      <c r="Q36" s="52">
        <f>Q19+60</f>
        <v>80</v>
      </c>
      <c r="R36" s="5" t="str">
        <f>"CORE"&amp;Q36</f>
        <v>CORE80</v>
      </c>
      <c r="S36" s="52">
        <f>S19+60</f>
        <v>87</v>
      </c>
      <c r="T36" s="5" t="str">
        <f>"CORE"&amp;S36</f>
        <v>CORE87</v>
      </c>
      <c r="U36" s="52">
        <f>U19+60</f>
        <v>94</v>
      </c>
      <c r="V36" s="5" t="str">
        <f>"CORE"&amp;U36</f>
        <v>CORE94</v>
      </c>
      <c r="W36" s="52">
        <f>W19+60</f>
        <v>101</v>
      </c>
      <c r="X36" s="5" t="str">
        <f>"CORE"&amp;W36</f>
        <v>CORE101</v>
      </c>
      <c r="Y36" s="52">
        <f>Y19+60</f>
        <v>108</v>
      </c>
      <c r="Z36" s="5" t="str">
        <f>"CORE"&amp;Y36</f>
        <v>CORE108</v>
      </c>
      <c r="AA36" s="52">
        <f>AA19+60</f>
        <v>115</v>
      </c>
      <c r="AB36" s="5" t="str">
        <f>"CORE"&amp;AA36</f>
        <v>CORE115</v>
      </c>
      <c r="AC36" s="47" t="s">
        <v>158</v>
      </c>
      <c r="AD36" s="48"/>
      <c r="AE36" s="36">
        <v>5</v>
      </c>
      <c r="AK36" s="4" t="str">
        <f t="shared" si="3"/>
        <v/>
      </c>
      <c r="AL36" s="4"/>
      <c r="AM36" s="4" t="str">
        <f t="shared" si="4"/>
        <v/>
      </c>
      <c r="AN36" s="4" t="str">
        <f>IFERROR(_xlfn.XLOOKUP(HEX2DEC(MID(AM36,LEN(AM36)-7,4)),mscod[MSCOD_BY_VAL],mscod[Description],""),"")</f>
        <v/>
      </c>
      <c r="AO36" s="4" t="str" cm="1">
        <f t="array" ref="AO36">_xlfn.XLOOKUP($K$1&amp;$Q$1&amp;"DPMB_SOCKET0__COMPUTE"&amp;AK36&amp;"__UNCORE__CHA__CHA"&amp;AL36&amp;"__UTIL__MC_ADDR"&amp;$B$1,cha_mc[VisualId]&amp;cha_mc[UnitTestingSeqKey]&amp;cha_mc[TestName],cha_mc[TestValue],"")</f>
        <v/>
      </c>
      <c r="AP36" s="4" t="str" cm="1">
        <f t="array" ref="AP36">_xlfn.XLOOKUP($K$1&amp;$Q$1&amp;"DPMB_SOCKET0__COMPUTE"&amp;AK36&amp;"__UNCORE__CHA__CHA"&amp;AL36&amp;"__UTIL__MC_MISC"&amp;$B$1,cha_mc[VisualId]&amp;cha_mc[UnitTestingSeqKey]&amp;cha_mc[TestName],cha_mc[TestValue],"")</f>
        <v/>
      </c>
      <c r="AQ36" s="30"/>
      <c r="AR36" s="30"/>
      <c r="AS36" s="30"/>
      <c r="AT36" s="30"/>
      <c r="AU36" s="30"/>
      <c r="AV36" s="4" t="str" cm="1">
        <f t="array" ref="AV36">_xlfn.XLOOKUP($K$1&amp;$Q$1&amp;"DPMB_SOCKET0__COMPUTE"&amp;AK36&amp;"__UNCORE__CHA__CHA"&amp;AL36&amp;"__UTIL__MC_MISC3"&amp;$B$1,cha_mc[VisualId]&amp;cha_mc[UnitTestingSeqKey]&amp;cha_mc[TestName],cha_mc[TestValue],"")</f>
        <v/>
      </c>
      <c r="AW36" s="30"/>
      <c r="AX36" s="30"/>
      <c r="AY36" s="30"/>
      <c r="AZ36" s="30"/>
      <c r="BA36" s="30"/>
    </row>
    <row r="37" spans="1:53" x14ac:dyDescent="0.3">
      <c r="A37" s="4" t="str">
        <f t="shared" si="5"/>
        <v>74X97M1000031</v>
      </c>
      <c r="B37" s="4" t="str">
        <f t="shared" si="1"/>
        <v>1-1</v>
      </c>
      <c r="C37" s="4">
        <v>0</v>
      </c>
      <c r="D37" s="4">
        <v>33</v>
      </c>
      <c r="E37" s="4" t="str" cm="1">
        <f t="array" ref="E37">_xlfn.XLOOKUP(A37&amp;B37&amp;$E$1&amp;"DPMB_SOCKET0__COMPUTE"&amp;C37&amp;"__CPU__CORE"&amp;Check!D37&amp;"__ML2_CR_MC3_STATUS"&amp;$B$1,core_mc[VisualId]&amp;core_mc[PPVRun_MC]&amp;core_mc[Lot]&amp;core_mc[TestNameWithoutNumeric],core_mc[TestValue],"")</f>
        <v/>
      </c>
      <c r="F37" s="4">
        <v>33</v>
      </c>
      <c r="G37" s="4" t="str" cm="1">
        <f t="array" ref="G37">_xlfn.XLOOKUP(A37&amp;B37&amp;$E$1&amp;"DPMB_SOCKET0__COMPUTE"&amp;C37&amp;"__UNCORE__CHA__CHA"&amp;Check!F37&amp;"__UTIL__MC_STATUS"&amp;$B$1,cha_mc[VisualId]&amp;cha_mc[PPVRun_MC]&amp;cha_mc[Lot]&amp;cha_mc[TestNameWithoutNumeric],cha_mc[TestValue],"")</f>
        <v/>
      </c>
      <c r="H37" s="4" t="str">
        <f t="shared" si="2"/>
        <v/>
      </c>
      <c r="J37" s="51"/>
      <c r="K37" s="49"/>
      <c r="L37" s="50"/>
      <c r="M37" s="51"/>
      <c r="N37" s="5" t="str">
        <f>"CHA"&amp;M36</f>
        <v>CHA66</v>
      </c>
      <c r="O37" s="51"/>
      <c r="P37" s="5" t="str">
        <f>"CHA"&amp;O36</f>
        <v>CHA73</v>
      </c>
      <c r="Q37" s="51"/>
      <c r="R37" s="5" t="str">
        <f>"CHA"&amp;Q36</f>
        <v>CHA80</v>
      </c>
      <c r="S37" s="51"/>
      <c r="T37" s="5" t="str">
        <f>"CHA"&amp;S36</f>
        <v>CHA87</v>
      </c>
      <c r="U37" s="51"/>
      <c r="V37" s="5" t="str">
        <f>"CHA"&amp;U36</f>
        <v>CHA94</v>
      </c>
      <c r="W37" s="51"/>
      <c r="X37" s="5" t="str">
        <f>"CHA"&amp;W36</f>
        <v>CHA101</v>
      </c>
      <c r="Y37" s="51"/>
      <c r="Z37" s="5" t="str">
        <f>"CHA"&amp;Y36</f>
        <v>CHA108</v>
      </c>
      <c r="AA37" s="51"/>
      <c r="AB37" s="5" t="str">
        <f>"CHA"&amp;AA36</f>
        <v>CHA115</v>
      </c>
      <c r="AC37" s="49"/>
      <c r="AD37" s="50"/>
      <c r="AE37" s="51"/>
      <c r="AK37" s="4" t="str">
        <f t="shared" si="3"/>
        <v/>
      </c>
      <c r="AL37" s="4"/>
      <c r="AM37" s="4" t="str">
        <f t="shared" si="4"/>
        <v/>
      </c>
      <c r="AN37" s="4" t="str">
        <f>IFERROR(_xlfn.XLOOKUP(HEX2DEC(MID(AM37,LEN(AM37)-7,4)),mscod[MSCOD_BY_VAL],mscod[Description],""),"")</f>
        <v/>
      </c>
      <c r="AO37" s="4" t="str" cm="1">
        <f t="array" ref="AO37">_xlfn.XLOOKUP($K$1&amp;$Q$1&amp;"DPMB_SOCKET0__COMPUTE"&amp;AK37&amp;"__UNCORE__CHA__CHA"&amp;AL37&amp;"__UTIL__MC_ADDR"&amp;$B$1,cha_mc[VisualId]&amp;cha_mc[UnitTestingSeqKey]&amp;cha_mc[TestName],cha_mc[TestValue],"")</f>
        <v/>
      </c>
      <c r="AP37" s="4" t="str" cm="1">
        <f t="array" ref="AP37">_xlfn.XLOOKUP($K$1&amp;$Q$1&amp;"DPMB_SOCKET0__COMPUTE"&amp;AK37&amp;"__UNCORE__CHA__CHA"&amp;AL37&amp;"__UTIL__MC_MISC"&amp;$B$1,cha_mc[VisualId]&amp;cha_mc[UnitTestingSeqKey]&amp;cha_mc[TestName],cha_mc[TestValue],"")</f>
        <v/>
      </c>
      <c r="AQ37" s="30"/>
      <c r="AR37" s="30"/>
      <c r="AS37" s="30"/>
      <c r="AT37" s="30"/>
      <c r="AU37" s="30"/>
      <c r="AV37" s="4" t="str" cm="1">
        <f t="array" ref="AV37">_xlfn.XLOOKUP($K$1&amp;$Q$1&amp;"DPMB_SOCKET0__COMPUTE"&amp;AK37&amp;"__UNCORE__CHA__CHA"&amp;AL37&amp;"__UTIL__MC_MISC3"&amp;$B$1,cha_mc[VisualId]&amp;cha_mc[UnitTestingSeqKey]&amp;cha_mc[TestName],cha_mc[TestValue],"")</f>
        <v/>
      </c>
      <c r="AW37" s="30"/>
      <c r="AX37" s="30"/>
      <c r="AY37" s="30"/>
      <c r="AZ37" s="30"/>
      <c r="BA37" s="30"/>
    </row>
    <row r="38" spans="1:53" x14ac:dyDescent="0.3">
      <c r="A38" s="4" t="str">
        <f t="shared" si="5"/>
        <v>74X97M1000031</v>
      </c>
      <c r="B38" s="4" t="str">
        <f t="shared" si="1"/>
        <v>1-1</v>
      </c>
      <c r="C38" s="4">
        <v>0</v>
      </c>
      <c r="D38" s="4">
        <v>34</v>
      </c>
      <c r="E38" s="4" t="str" cm="1">
        <f t="array" ref="E38">_xlfn.XLOOKUP(A38&amp;B38&amp;$E$1&amp;"DPMB_SOCKET0__COMPUTE"&amp;C38&amp;"__CPU__CORE"&amp;Check!D38&amp;"__ML2_CR_MC3_STATUS"&amp;$B$1,core_mc[VisualId]&amp;core_mc[PPVRun_MC]&amp;core_mc[Lot]&amp;core_mc[TestNameWithoutNumeric],core_mc[TestValue],"")</f>
        <v/>
      </c>
      <c r="F38" s="4">
        <v>34</v>
      </c>
      <c r="G38" s="4" t="str" cm="1">
        <f t="array" ref="G38">_xlfn.XLOOKUP(A38&amp;B38&amp;$E$1&amp;"DPMB_SOCKET0__COMPUTE"&amp;C38&amp;"__UNCORE__CHA__CHA"&amp;Check!F38&amp;"__UTIL__MC_STATUS"&amp;$B$1,cha_mc[VisualId]&amp;cha_mc[PPVRun_MC]&amp;cha_mc[Lot]&amp;cha_mc[TestNameWithoutNumeric],cha_mc[TestValue],"")</f>
        <v/>
      </c>
      <c r="H38" s="4" t="str">
        <f t="shared" si="2"/>
        <v/>
      </c>
      <c r="J38" s="36">
        <v>6</v>
      </c>
      <c r="K38" s="47" t="s">
        <v>159</v>
      </c>
      <c r="L38" s="48"/>
      <c r="M38" s="52">
        <f>M21+60</f>
        <v>67</v>
      </c>
      <c r="N38" s="5" t="str">
        <f>"CORE"&amp;M38</f>
        <v>CORE67</v>
      </c>
      <c r="O38" s="52">
        <f>O21+60</f>
        <v>74</v>
      </c>
      <c r="P38" s="5" t="str">
        <f>"CORE"&amp;O38</f>
        <v>CORE74</v>
      </c>
      <c r="Q38" s="52">
        <f>Q21+60</f>
        <v>81</v>
      </c>
      <c r="R38" s="5" t="str">
        <f>"CORE"&amp;Q38</f>
        <v>CORE81</v>
      </c>
      <c r="S38" s="52">
        <f>S21+60</f>
        <v>88</v>
      </c>
      <c r="T38" s="5" t="str">
        <f>"CORE"&amp;S38</f>
        <v>CORE88</v>
      </c>
      <c r="U38" s="52">
        <f>U21+60</f>
        <v>95</v>
      </c>
      <c r="V38" s="5" t="str">
        <f>"CORE"&amp;U38</f>
        <v>CORE95</v>
      </c>
      <c r="W38" s="52">
        <f>W21+60</f>
        <v>102</v>
      </c>
      <c r="X38" s="5" t="str">
        <f>"CORE"&amp;W38</f>
        <v>CORE102</v>
      </c>
      <c r="Y38" s="52">
        <f>Y21+60</f>
        <v>109</v>
      </c>
      <c r="Z38" s="5" t="str">
        <f>"CORE"&amp;Y38</f>
        <v>CORE109</v>
      </c>
      <c r="AA38" s="52">
        <f>AA21+60</f>
        <v>116</v>
      </c>
      <c r="AB38" s="5" t="str">
        <f>"CORE"&amp;AA38</f>
        <v>CORE116</v>
      </c>
      <c r="AC38" s="47" t="s">
        <v>160</v>
      </c>
      <c r="AD38" s="48"/>
      <c r="AE38" s="36">
        <v>6</v>
      </c>
      <c r="AK38" s="4" t="str">
        <f t="shared" si="3"/>
        <v/>
      </c>
      <c r="AL38" s="4"/>
      <c r="AM38" s="4" t="str">
        <f t="shared" si="4"/>
        <v/>
      </c>
      <c r="AN38" s="4" t="str">
        <f>IFERROR(_xlfn.XLOOKUP(HEX2DEC(MID(AM38,LEN(AM38)-7,4)),mscod[MSCOD_BY_VAL],mscod[Description],""),"")</f>
        <v/>
      </c>
      <c r="AO38" s="4" t="str" cm="1">
        <f t="array" ref="AO38">_xlfn.XLOOKUP($K$1&amp;$Q$1&amp;"DPMB_SOCKET0__COMPUTE"&amp;AK38&amp;"__UNCORE__CHA__CHA"&amp;AL38&amp;"__UTIL__MC_ADDR"&amp;$B$1,cha_mc[VisualId]&amp;cha_mc[UnitTestingSeqKey]&amp;cha_mc[TestName],cha_mc[TestValue],"")</f>
        <v/>
      </c>
      <c r="AP38" s="4" t="str" cm="1">
        <f t="array" ref="AP38">_xlfn.XLOOKUP($K$1&amp;$Q$1&amp;"DPMB_SOCKET0__COMPUTE"&amp;AK38&amp;"__UNCORE__CHA__CHA"&amp;AL38&amp;"__UTIL__MC_MISC"&amp;$B$1,cha_mc[VisualId]&amp;cha_mc[UnitTestingSeqKey]&amp;cha_mc[TestName],cha_mc[TestValue],"")</f>
        <v/>
      </c>
      <c r="AQ38" s="30"/>
      <c r="AR38" s="30"/>
      <c r="AS38" s="30"/>
      <c r="AT38" s="30"/>
      <c r="AU38" s="30"/>
      <c r="AV38" s="4" t="str" cm="1">
        <f t="array" ref="AV38">_xlfn.XLOOKUP($K$1&amp;$Q$1&amp;"DPMB_SOCKET0__COMPUTE"&amp;AK38&amp;"__UNCORE__CHA__CHA"&amp;AL38&amp;"__UTIL__MC_MISC3"&amp;$B$1,cha_mc[VisualId]&amp;cha_mc[UnitTestingSeqKey]&amp;cha_mc[TestName],cha_mc[TestValue],"")</f>
        <v/>
      </c>
      <c r="AW38" s="30"/>
      <c r="AX38" s="30"/>
      <c r="AY38" s="30"/>
      <c r="AZ38" s="30"/>
      <c r="BA38" s="30"/>
    </row>
    <row r="39" spans="1:53" x14ac:dyDescent="0.3">
      <c r="A39" s="4" t="str">
        <f t="shared" si="5"/>
        <v>74X97M1000031</v>
      </c>
      <c r="B39" s="4" t="str">
        <f t="shared" si="1"/>
        <v>1-1</v>
      </c>
      <c r="C39" s="4">
        <v>0</v>
      </c>
      <c r="D39" s="4">
        <v>35</v>
      </c>
      <c r="E39" s="4" t="str" cm="1">
        <f t="array" ref="E39">_xlfn.XLOOKUP(A39&amp;B39&amp;$E$1&amp;"DPMB_SOCKET0__COMPUTE"&amp;C39&amp;"__CPU__CORE"&amp;Check!D39&amp;"__ML2_CR_MC3_STATUS"&amp;$B$1,core_mc[VisualId]&amp;core_mc[PPVRun_MC]&amp;core_mc[Lot]&amp;core_mc[TestNameWithoutNumeric],core_mc[TestValue],"")</f>
        <v/>
      </c>
      <c r="F39" s="4">
        <v>35</v>
      </c>
      <c r="G39" s="4" t="str" cm="1">
        <f t="array" ref="G39">_xlfn.XLOOKUP(A39&amp;B39&amp;$E$1&amp;"DPMB_SOCKET0__COMPUTE"&amp;C39&amp;"__UNCORE__CHA__CHA"&amp;Check!F39&amp;"__UTIL__MC_STATUS"&amp;$B$1,cha_mc[VisualId]&amp;cha_mc[PPVRun_MC]&amp;cha_mc[Lot]&amp;cha_mc[TestNameWithoutNumeric],cha_mc[TestValue],"")</f>
        <v/>
      </c>
      <c r="H39" s="4" t="str">
        <f t="shared" si="2"/>
        <v/>
      </c>
      <c r="J39" s="51"/>
      <c r="K39" s="49"/>
      <c r="L39" s="50"/>
      <c r="M39" s="51"/>
      <c r="N39" s="5" t="str">
        <f>"CHA"&amp;M38</f>
        <v>CHA67</v>
      </c>
      <c r="O39" s="51"/>
      <c r="P39" s="5" t="str">
        <f>"CHA"&amp;O38</f>
        <v>CHA74</v>
      </c>
      <c r="Q39" s="51"/>
      <c r="R39" s="5" t="str">
        <f>"CHA"&amp;Q38</f>
        <v>CHA81</v>
      </c>
      <c r="S39" s="51"/>
      <c r="T39" s="5" t="str">
        <f>"CHA"&amp;S38</f>
        <v>CHA88</v>
      </c>
      <c r="U39" s="51"/>
      <c r="V39" s="5" t="str">
        <f>"CHA"&amp;U38</f>
        <v>CHA95</v>
      </c>
      <c r="W39" s="51"/>
      <c r="X39" s="5" t="str">
        <f>"CHA"&amp;W38</f>
        <v>CHA102</v>
      </c>
      <c r="Y39" s="51"/>
      <c r="Z39" s="5" t="str">
        <f>"CHA"&amp;Y38</f>
        <v>CHA109</v>
      </c>
      <c r="AA39" s="51"/>
      <c r="AB39" s="5" t="str">
        <f>"CHA"&amp;AA38</f>
        <v>CHA116</v>
      </c>
      <c r="AC39" s="49"/>
      <c r="AD39" s="50"/>
      <c r="AE39" s="51"/>
      <c r="AK39" s="4" t="str">
        <f t="shared" si="3"/>
        <v/>
      </c>
      <c r="AL39" s="4"/>
      <c r="AM39" s="4" t="str">
        <f t="shared" si="4"/>
        <v/>
      </c>
      <c r="AN39" s="4" t="str">
        <f>IFERROR(_xlfn.XLOOKUP(HEX2DEC(MID(AM39,LEN(AM39)-7,4)),mscod[MSCOD_BY_VAL],mscod[Description],""),"")</f>
        <v/>
      </c>
      <c r="AO39" s="4" t="str" cm="1">
        <f t="array" ref="AO39">_xlfn.XLOOKUP($K$1&amp;$Q$1&amp;"DPMB_SOCKET0__COMPUTE"&amp;AK39&amp;"__UNCORE__CHA__CHA"&amp;AL39&amp;"__UTIL__MC_ADDR"&amp;$B$1,cha_mc[VisualId]&amp;cha_mc[UnitTestingSeqKey]&amp;cha_mc[TestName],cha_mc[TestValue],"")</f>
        <v/>
      </c>
      <c r="AP39" s="4" t="str" cm="1">
        <f t="array" ref="AP39">_xlfn.XLOOKUP($K$1&amp;$Q$1&amp;"DPMB_SOCKET0__COMPUTE"&amp;AK39&amp;"__UNCORE__CHA__CHA"&amp;AL39&amp;"__UTIL__MC_MISC"&amp;$B$1,cha_mc[VisualId]&amp;cha_mc[UnitTestingSeqKey]&amp;cha_mc[TestName],cha_mc[TestValue],"")</f>
        <v/>
      </c>
      <c r="AQ39" s="30"/>
      <c r="AR39" s="30"/>
      <c r="AS39" s="30"/>
      <c r="AT39" s="30"/>
      <c r="AU39" s="30"/>
      <c r="AV39" s="4" t="str" cm="1">
        <f t="array" ref="AV39">_xlfn.XLOOKUP($K$1&amp;$Q$1&amp;"DPMB_SOCKET0__COMPUTE"&amp;AK39&amp;"__UNCORE__CHA__CHA"&amp;AL39&amp;"__UTIL__MC_MISC3"&amp;$B$1,cha_mc[VisualId]&amp;cha_mc[UnitTestingSeqKey]&amp;cha_mc[TestName],cha_mc[TestValue],"")</f>
        <v/>
      </c>
      <c r="AW39" s="30"/>
      <c r="AX39" s="30"/>
      <c r="AY39" s="30"/>
      <c r="AZ39" s="30"/>
      <c r="BA39" s="30"/>
    </row>
    <row r="40" spans="1:53" x14ac:dyDescent="0.3">
      <c r="A40" s="4" t="str">
        <f t="shared" si="5"/>
        <v>74X97M1000031</v>
      </c>
      <c r="B40" s="4" t="str">
        <f t="shared" si="1"/>
        <v>1-1</v>
      </c>
      <c r="C40" s="4">
        <v>0</v>
      </c>
      <c r="D40" s="4">
        <v>36</v>
      </c>
      <c r="E40" s="4" t="str" cm="1">
        <f t="array" ref="E40">_xlfn.XLOOKUP(A40&amp;B40&amp;$E$1&amp;"DPMB_SOCKET0__COMPUTE"&amp;C40&amp;"__CPU__CORE"&amp;Check!D40&amp;"__ML2_CR_MC3_STATUS"&amp;$B$1,core_mc[VisualId]&amp;core_mc[PPVRun_MC]&amp;core_mc[Lot]&amp;core_mc[TestNameWithoutNumeric],core_mc[TestValue],"")</f>
        <v/>
      </c>
      <c r="F40" s="4">
        <v>36</v>
      </c>
      <c r="G40" s="4" t="str" cm="1">
        <f t="array" ref="G40">_xlfn.XLOOKUP(A40&amp;B40&amp;$E$1&amp;"DPMB_SOCKET0__COMPUTE"&amp;C40&amp;"__UNCORE__CHA__CHA"&amp;Check!F40&amp;"__UTIL__MC_STATUS"&amp;$B$1,cha_mc[VisualId]&amp;cha_mc[PPVRun_MC]&amp;cha_mc[Lot]&amp;cha_mc[TestNameWithoutNumeric],cha_mc[TestValue],"")</f>
        <v/>
      </c>
      <c r="H40" s="4" t="str">
        <f t="shared" si="2"/>
        <v/>
      </c>
      <c r="J40" s="36">
        <v>7</v>
      </c>
      <c r="K40" s="47" t="s">
        <v>161</v>
      </c>
      <c r="L40" s="48"/>
      <c r="M40" s="52">
        <f>M23+60</f>
        <v>68</v>
      </c>
      <c r="N40" s="5" t="str">
        <f>"CORE"&amp;M40</f>
        <v>CORE68</v>
      </c>
      <c r="O40" s="52">
        <f>O23+60</f>
        <v>75</v>
      </c>
      <c r="P40" s="5" t="str">
        <f>"CORE"&amp;O40</f>
        <v>CORE75</v>
      </c>
      <c r="Q40" s="52">
        <f>Q23+60</f>
        <v>82</v>
      </c>
      <c r="R40" s="5" t="str">
        <f>"CORE"&amp;Q40</f>
        <v>CORE82</v>
      </c>
      <c r="S40" s="52">
        <v>89</v>
      </c>
      <c r="T40" s="5" t="str">
        <f>"CORE"&amp;S40</f>
        <v>CORE89</v>
      </c>
      <c r="U40" s="52">
        <f>U23+60</f>
        <v>96</v>
      </c>
      <c r="V40" s="5" t="str">
        <f>"CORE"&amp;U40</f>
        <v>CORE96</v>
      </c>
      <c r="W40" s="52">
        <f>W23+60</f>
        <v>103</v>
      </c>
      <c r="X40" s="5" t="str">
        <f>"CORE"&amp;W40</f>
        <v>CORE103</v>
      </c>
      <c r="Y40" s="52">
        <f>Y23+60</f>
        <v>110</v>
      </c>
      <c r="Z40" s="5" t="str">
        <f>"CORE"&amp;Y40</f>
        <v>CORE110</v>
      </c>
      <c r="AA40" s="52">
        <f>AA23+60</f>
        <v>117</v>
      </c>
      <c r="AB40" s="5" t="str">
        <f>"CORE"&amp;AA40</f>
        <v>CORE117</v>
      </c>
      <c r="AC40" s="47" t="s">
        <v>161</v>
      </c>
      <c r="AD40" s="48"/>
      <c r="AE40" s="36">
        <v>7</v>
      </c>
      <c r="AK40" s="4" t="str">
        <f t="shared" si="3"/>
        <v/>
      </c>
      <c r="AL40" s="4"/>
      <c r="AM40" s="4" t="str">
        <f t="shared" si="4"/>
        <v/>
      </c>
      <c r="AN40" s="4" t="str">
        <f>IFERROR(_xlfn.XLOOKUP(HEX2DEC(MID(AM40,LEN(AM40)-7,4)),mscod[MSCOD_BY_VAL],mscod[Description],""),"")</f>
        <v/>
      </c>
      <c r="AO40" s="4" t="str" cm="1">
        <f t="array" ref="AO40">_xlfn.XLOOKUP($K$1&amp;$Q$1&amp;"DPMB_SOCKET0__COMPUTE"&amp;AK40&amp;"__UNCORE__CHA__CHA"&amp;AL40&amp;"__UTIL__MC_ADDR"&amp;$B$1,cha_mc[VisualId]&amp;cha_mc[UnitTestingSeqKey]&amp;cha_mc[TestName],cha_mc[TestValue],"")</f>
        <v/>
      </c>
      <c r="AP40" s="4" t="str" cm="1">
        <f t="array" ref="AP40">_xlfn.XLOOKUP($K$1&amp;$Q$1&amp;"DPMB_SOCKET0__COMPUTE"&amp;AK40&amp;"__UNCORE__CHA__CHA"&amp;AL40&amp;"__UTIL__MC_MISC"&amp;$B$1,cha_mc[VisualId]&amp;cha_mc[UnitTestingSeqKey]&amp;cha_mc[TestName],cha_mc[TestValue],"")</f>
        <v/>
      </c>
      <c r="AQ40" s="30"/>
      <c r="AR40" s="30"/>
      <c r="AS40" s="30"/>
      <c r="AT40" s="30"/>
      <c r="AU40" s="30"/>
      <c r="AV40" s="4" t="str" cm="1">
        <f t="array" ref="AV40">_xlfn.XLOOKUP($K$1&amp;$Q$1&amp;"DPMB_SOCKET0__COMPUTE"&amp;AK40&amp;"__UNCORE__CHA__CHA"&amp;AL40&amp;"__UTIL__MC_MISC3"&amp;$B$1,cha_mc[VisualId]&amp;cha_mc[UnitTestingSeqKey]&amp;cha_mc[TestName],cha_mc[TestValue],"")</f>
        <v/>
      </c>
      <c r="AW40" s="30"/>
      <c r="AX40" s="30"/>
      <c r="AY40" s="30"/>
      <c r="AZ40" s="30"/>
      <c r="BA40" s="30"/>
    </row>
    <row r="41" spans="1:53" x14ac:dyDescent="0.3">
      <c r="A41" s="4" t="str">
        <f t="shared" si="5"/>
        <v>74X97M1000031</v>
      </c>
      <c r="B41" s="4" t="str">
        <f t="shared" si="1"/>
        <v>1-1</v>
      </c>
      <c r="C41" s="4">
        <v>0</v>
      </c>
      <c r="D41" s="4">
        <v>37</v>
      </c>
      <c r="E41" s="4" t="str" cm="1">
        <f t="array" ref="E41">_xlfn.XLOOKUP(A41&amp;B41&amp;$E$1&amp;"DPMB_SOCKET0__COMPUTE"&amp;C41&amp;"__CPU__CORE"&amp;Check!D41&amp;"__ML2_CR_MC3_STATUS"&amp;$B$1,core_mc[VisualId]&amp;core_mc[PPVRun_MC]&amp;core_mc[Lot]&amp;core_mc[TestNameWithoutNumeric],core_mc[TestValue],"")</f>
        <v/>
      </c>
      <c r="F41" s="4">
        <v>37</v>
      </c>
      <c r="G41" s="4" t="str" cm="1">
        <f t="array" ref="G41">_xlfn.XLOOKUP(A41&amp;B41&amp;$E$1&amp;"DPMB_SOCKET0__COMPUTE"&amp;C41&amp;"__UNCORE__CHA__CHA"&amp;Check!F41&amp;"__UTIL__MC_STATUS"&amp;$B$1,cha_mc[VisualId]&amp;cha_mc[PPVRun_MC]&amp;cha_mc[Lot]&amp;cha_mc[TestNameWithoutNumeric],cha_mc[TestValue],"")</f>
        <v/>
      </c>
      <c r="H41" s="4" t="str">
        <f t="shared" si="2"/>
        <v/>
      </c>
      <c r="J41" s="51"/>
      <c r="K41" s="49"/>
      <c r="L41" s="50"/>
      <c r="M41" s="51"/>
      <c r="N41" s="5" t="str">
        <f>"CHA"&amp;M40</f>
        <v>CHA68</v>
      </c>
      <c r="O41" s="51"/>
      <c r="P41" s="5" t="str">
        <f>"CHA"&amp;O40</f>
        <v>CHA75</v>
      </c>
      <c r="Q41" s="51"/>
      <c r="R41" s="5" t="str">
        <f>"CHA"&amp;Q40</f>
        <v>CHA82</v>
      </c>
      <c r="S41" s="51"/>
      <c r="T41" s="5" t="str">
        <f>"CHA"&amp;S40</f>
        <v>CHA89</v>
      </c>
      <c r="U41" s="51"/>
      <c r="V41" s="5" t="str">
        <f>"CHA"&amp;U40</f>
        <v>CHA96</v>
      </c>
      <c r="W41" s="51"/>
      <c r="X41" s="5" t="str">
        <f>"CHA"&amp;W40</f>
        <v>CHA103</v>
      </c>
      <c r="Y41" s="51"/>
      <c r="Z41" s="5" t="str">
        <f>"CHA"&amp;Y40</f>
        <v>CHA110</v>
      </c>
      <c r="AA41" s="51"/>
      <c r="AB41" s="5" t="str">
        <f>"CHA"&amp;AA40</f>
        <v>CHA117</v>
      </c>
      <c r="AC41" s="49"/>
      <c r="AD41" s="50"/>
      <c r="AE41" s="51"/>
      <c r="AK41" s="4" t="str">
        <f t="shared" si="3"/>
        <v/>
      </c>
      <c r="AL41" s="4"/>
      <c r="AM41" s="4" t="str">
        <f t="shared" si="4"/>
        <v/>
      </c>
      <c r="AN41" s="4" t="str">
        <f>IFERROR(_xlfn.XLOOKUP(HEX2DEC(MID(AM41,LEN(AM41)-7,4)),mscod[MSCOD_BY_VAL],mscod[Description],""),"")</f>
        <v/>
      </c>
      <c r="AO41" s="4" t="str" cm="1">
        <f t="array" ref="AO41">_xlfn.XLOOKUP($K$1&amp;$Q$1&amp;"DPMB_SOCKET0__COMPUTE"&amp;AK41&amp;"__UNCORE__CHA__CHA"&amp;AL41&amp;"__UTIL__MC_ADDR"&amp;$B$1,cha_mc[VisualId]&amp;cha_mc[UnitTestingSeqKey]&amp;cha_mc[TestName],cha_mc[TestValue],"")</f>
        <v/>
      </c>
      <c r="AP41" s="4" t="str" cm="1">
        <f t="array" ref="AP41">_xlfn.XLOOKUP($K$1&amp;$Q$1&amp;"DPMB_SOCKET0__COMPUTE"&amp;AK41&amp;"__UNCORE__CHA__CHA"&amp;AL41&amp;"__UTIL__MC_MISC"&amp;$B$1,cha_mc[VisualId]&amp;cha_mc[UnitTestingSeqKey]&amp;cha_mc[TestName],cha_mc[TestValue],"")</f>
        <v/>
      </c>
      <c r="AQ41" s="30"/>
      <c r="AR41" s="30"/>
      <c r="AS41" s="30"/>
      <c r="AT41" s="30"/>
      <c r="AU41" s="30"/>
      <c r="AV41" s="4" t="str" cm="1">
        <f t="array" ref="AV41">_xlfn.XLOOKUP($K$1&amp;$Q$1&amp;"DPMB_SOCKET0__COMPUTE"&amp;AK41&amp;"__UNCORE__CHA__CHA"&amp;AL41&amp;"__UTIL__MC_MISC3"&amp;$B$1,cha_mc[VisualId]&amp;cha_mc[UnitTestingSeqKey]&amp;cha_mc[TestName],cha_mc[TestValue],"")</f>
        <v/>
      </c>
      <c r="AW41" s="30"/>
      <c r="AX41" s="30"/>
      <c r="AY41" s="30"/>
      <c r="AZ41" s="30"/>
      <c r="BA41" s="30"/>
    </row>
    <row r="42" spans="1:53" x14ac:dyDescent="0.3">
      <c r="A42" s="4" t="str">
        <f t="shared" si="5"/>
        <v>74X97M1000031</v>
      </c>
      <c r="B42" s="4" t="str">
        <f t="shared" si="1"/>
        <v>1-1</v>
      </c>
      <c r="C42" s="4">
        <v>0</v>
      </c>
      <c r="D42" s="4">
        <v>38</v>
      </c>
      <c r="E42" s="4" t="str" cm="1">
        <f t="array" ref="E42">_xlfn.XLOOKUP(A42&amp;B42&amp;$E$1&amp;"DPMB_SOCKET0__COMPUTE"&amp;C42&amp;"__CPU__CORE"&amp;Check!D42&amp;"__ML2_CR_MC3_STATUS"&amp;$B$1,core_mc[VisualId]&amp;core_mc[PPVRun_MC]&amp;core_mc[Lot]&amp;core_mc[TestNameWithoutNumeric],core_mc[TestValue],"")</f>
        <v/>
      </c>
      <c r="F42" s="4">
        <v>38</v>
      </c>
      <c r="G42" s="4" t="str" cm="1">
        <f t="array" ref="G42">_xlfn.XLOOKUP(A42&amp;B42&amp;$E$1&amp;"DPMB_SOCKET0__COMPUTE"&amp;C42&amp;"__UNCORE__CHA__CHA"&amp;Check!F42&amp;"__UTIL__MC_STATUS"&amp;$B$1,cha_mc[VisualId]&amp;cha_mc[PPVRun_MC]&amp;cha_mc[Lot]&amp;cha_mc[TestNameWithoutNumeric],cha_mc[TestValue],"")</f>
        <v/>
      </c>
      <c r="H42" s="4" t="str">
        <f t="shared" si="2"/>
        <v/>
      </c>
      <c r="J42" s="1" t="s">
        <v>162</v>
      </c>
      <c r="K42" s="44" t="s">
        <v>151</v>
      </c>
      <c r="L42" s="37"/>
      <c r="M42" s="44" t="s">
        <v>151</v>
      </c>
      <c r="N42" s="37"/>
      <c r="O42" s="44" t="s">
        <v>151</v>
      </c>
      <c r="P42" s="37"/>
      <c r="Q42" s="44" t="s">
        <v>151</v>
      </c>
      <c r="R42" s="37"/>
      <c r="S42" s="44" t="s">
        <v>151</v>
      </c>
      <c r="T42" s="37"/>
      <c r="U42" s="44" t="s">
        <v>151</v>
      </c>
      <c r="V42" s="37"/>
      <c r="W42" s="44" t="s">
        <v>151</v>
      </c>
      <c r="X42" s="37"/>
      <c r="Y42" s="44" t="s">
        <v>151</v>
      </c>
      <c r="Z42" s="37"/>
      <c r="AA42" s="44" t="s">
        <v>151</v>
      </c>
      <c r="AB42" s="37"/>
      <c r="AC42" s="44" t="s">
        <v>151</v>
      </c>
      <c r="AD42" s="37"/>
      <c r="AE42" s="1" t="s">
        <v>162</v>
      </c>
      <c r="AK42" s="4" t="str">
        <f t="shared" si="3"/>
        <v/>
      </c>
      <c r="AL42" s="4"/>
      <c r="AM42" s="4" t="str">
        <f t="shared" si="4"/>
        <v/>
      </c>
      <c r="AN42" s="4" t="str">
        <f>IFERROR(_xlfn.XLOOKUP(HEX2DEC(MID(AM42,LEN(AM42)-7,4)),mscod[MSCOD_BY_VAL],mscod[Description],""),"")</f>
        <v/>
      </c>
      <c r="AO42" s="4" t="str" cm="1">
        <f t="array" ref="AO42">_xlfn.XLOOKUP($K$1&amp;$Q$1&amp;"DPMB_SOCKET0__COMPUTE"&amp;AK42&amp;"__UNCORE__CHA__CHA"&amp;AL42&amp;"__UTIL__MC_ADDR"&amp;$B$1,cha_mc[VisualId]&amp;cha_mc[UnitTestingSeqKey]&amp;cha_mc[TestName],cha_mc[TestValue],"")</f>
        <v/>
      </c>
      <c r="AP42" s="4" t="str" cm="1">
        <f t="array" ref="AP42">_xlfn.XLOOKUP($K$1&amp;$Q$1&amp;"DPMB_SOCKET0__COMPUTE"&amp;AK42&amp;"__UNCORE__CHA__CHA"&amp;AL42&amp;"__UTIL__MC_MISC"&amp;$B$1,cha_mc[VisualId]&amp;cha_mc[UnitTestingSeqKey]&amp;cha_mc[TestName],cha_mc[TestValue],"")</f>
        <v/>
      </c>
      <c r="AQ42" s="30"/>
      <c r="AR42" s="30"/>
      <c r="AS42" s="30"/>
      <c r="AT42" s="30"/>
      <c r="AU42" s="30"/>
      <c r="AV42" s="4" t="str" cm="1">
        <f t="array" ref="AV42">_xlfn.XLOOKUP($K$1&amp;$Q$1&amp;"DPMB_SOCKET0__COMPUTE"&amp;AK42&amp;"__UNCORE__CHA__CHA"&amp;AL42&amp;"__UTIL__MC_MISC3"&amp;$B$1,cha_mc[VisualId]&amp;cha_mc[UnitTestingSeqKey]&amp;cha_mc[TestName],cha_mc[TestValue],"")</f>
        <v/>
      </c>
      <c r="AW42" s="30"/>
      <c r="AX42" s="30"/>
      <c r="AY42" s="30"/>
      <c r="AZ42" s="30"/>
      <c r="BA42" s="30"/>
    </row>
    <row r="43" spans="1:53" x14ac:dyDescent="0.3">
      <c r="A43" s="4" t="str">
        <f t="shared" si="5"/>
        <v>74X97M1000031</v>
      </c>
      <c r="B43" s="4" t="str">
        <f t="shared" si="1"/>
        <v>1-1</v>
      </c>
      <c r="C43" s="4">
        <v>0</v>
      </c>
      <c r="D43" s="4">
        <v>39</v>
      </c>
      <c r="E43" s="4" t="str" cm="1">
        <f t="array" ref="E43">_xlfn.XLOOKUP(A43&amp;B43&amp;$E$1&amp;"DPMB_SOCKET0__COMPUTE"&amp;C43&amp;"__CPU__CORE"&amp;Check!D43&amp;"__ML2_CR_MC3_STATUS"&amp;$B$1,core_mc[VisualId]&amp;core_mc[PPVRun_MC]&amp;core_mc[Lot]&amp;core_mc[TestNameWithoutNumeric],core_mc[TestValue],"")</f>
        <v/>
      </c>
      <c r="F43" s="4">
        <v>39</v>
      </c>
      <c r="G43" s="4" t="str" cm="1">
        <f t="array" ref="G43">_xlfn.XLOOKUP(A43&amp;B43&amp;$E$1&amp;"DPMB_SOCKET0__COMPUTE"&amp;C43&amp;"__UNCORE__CHA__CHA"&amp;Check!F43&amp;"__UTIL__MC_STATUS"&amp;$B$1,cha_mc[VisualId]&amp;cha_mc[PPVRun_MC]&amp;cha_mc[Lot]&amp;cha_mc[TestNameWithoutNumeric],cha_mc[TestValue],"")</f>
        <v/>
      </c>
      <c r="H43" s="4" t="str">
        <f t="shared" si="2"/>
        <v/>
      </c>
      <c r="J43" s="45"/>
      <c r="K43" s="46"/>
      <c r="L43" s="46"/>
      <c r="M43" s="46"/>
      <c r="N43" s="46"/>
      <c r="O43" s="46"/>
      <c r="P43" s="46"/>
      <c r="Q43" s="46"/>
      <c r="R43" s="46"/>
      <c r="S43" s="46"/>
      <c r="T43" s="46"/>
      <c r="U43" s="46"/>
      <c r="V43" s="46"/>
      <c r="W43" s="46"/>
      <c r="X43" s="46"/>
      <c r="Y43" s="46"/>
      <c r="Z43" s="46"/>
      <c r="AA43" s="46"/>
      <c r="AB43" s="46"/>
      <c r="AC43" s="46"/>
      <c r="AD43" s="46"/>
      <c r="AE43" s="37"/>
      <c r="AK43" s="4" t="str">
        <f t="shared" si="3"/>
        <v/>
      </c>
      <c r="AL43" s="4"/>
      <c r="AM43" s="4" t="str">
        <f t="shared" si="4"/>
        <v/>
      </c>
      <c r="AN43" s="4" t="str">
        <f>IFERROR(_xlfn.XLOOKUP(HEX2DEC(MID(AM43,LEN(AM43)-7,4)),mscod[MSCOD_BY_VAL],mscod[Description],""),"")</f>
        <v/>
      </c>
      <c r="AO43" s="4" t="str" cm="1">
        <f t="array" ref="AO43">_xlfn.XLOOKUP($K$1&amp;$Q$1&amp;"DPMB_SOCKET0__COMPUTE"&amp;AK43&amp;"__UNCORE__CHA__CHA"&amp;AL43&amp;"__UTIL__MC_ADDR"&amp;$B$1,cha_mc[VisualId]&amp;cha_mc[UnitTestingSeqKey]&amp;cha_mc[TestName],cha_mc[TestValue],"")</f>
        <v/>
      </c>
      <c r="AP43" s="4" t="str" cm="1">
        <f t="array" ref="AP43">_xlfn.XLOOKUP($K$1&amp;$Q$1&amp;"DPMB_SOCKET0__COMPUTE"&amp;AK43&amp;"__UNCORE__CHA__CHA"&amp;AL43&amp;"__UTIL__MC_MISC"&amp;$B$1,cha_mc[VisualId]&amp;cha_mc[UnitTestingSeqKey]&amp;cha_mc[TestName],cha_mc[TestValue],"")</f>
        <v/>
      </c>
      <c r="AQ43" s="30"/>
      <c r="AR43" s="30"/>
      <c r="AS43" s="30"/>
      <c r="AT43" s="30"/>
      <c r="AU43" s="30"/>
      <c r="AV43" s="4" t="str" cm="1">
        <f t="array" ref="AV43">_xlfn.XLOOKUP($K$1&amp;$Q$1&amp;"DPMB_SOCKET0__COMPUTE"&amp;AK43&amp;"__UNCORE__CHA__CHA"&amp;AL43&amp;"__UTIL__MC_MISC3"&amp;$B$1,cha_mc[VisualId]&amp;cha_mc[UnitTestingSeqKey]&amp;cha_mc[TestName],cha_mc[TestValue],"")</f>
        <v/>
      </c>
      <c r="AW43" s="30"/>
      <c r="AX43" s="30"/>
      <c r="AY43" s="30"/>
      <c r="AZ43" s="30"/>
      <c r="BA43" s="30"/>
    </row>
    <row r="44" spans="1:53" x14ac:dyDescent="0.3">
      <c r="A44" s="4" t="str">
        <f t="shared" si="5"/>
        <v>74X97M1000031</v>
      </c>
      <c r="B44" s="4" t="str">
        <f t="shared" si="1"/>
        <v>1-1</v>
      </c>
      <c r="C44" s="4">
        <v>0</v>
      </c>
      <c r="D44" s="4">
        <v>40</v>
      </c>
      <c r="E44" s="4" t="str" cm="1">
        <f t="array" ref="E44">_xlfn.XLOOKUP(A44&amp;B44&amp;$E$1&amp;"DPMB_SOCKET0__COMPUTE"&amp;C44&amp;"__CPU__CORE"&amp;Check!D44&amp;"__ML2_CR_MC3_STATUS"&amp;$B$1,core_mc[VisualId]&amp;core_mc[PPVRun_MC]&amp;core_mc[Lot]&amp;core_mc[TestNameWithoutNumeric],core_mc[TestValue],"")</f>
        <v/>
      </c>
      <c r="F44" s="4">
        <v>40</v>
      </c>
      <c r="G44" s="4" t="str" cm="1">
        <f t="array" ref="G44">_xlfn.XLOOKUP(A44&amp;B44&amp;$E$1&amp;"DPMB_SOCKET0__COMPUTE"&amp;C44&amp;"__UNCORE__CHA__CHA"&amp;Check!F44&amp;"__UTIL__MC_STATUS"&amp;$B$1,cha_mc[VisualId]&amp;cha_mc[PPVRun_MC]&amp;cha_mc[Lot]&amp;cha_mc[TestNameWithoutNumeric],cha_mc[TestValue],"")</f>
        <v/>
      </c>
      <c r="H44" s="4" t="str">
        <f t="shared" si="2"/>
        <v/>
      </c>
      <c r="J44" s="1" t="s">
        <v>163</v>
      </c>
      <c r="K44" s="44" t="s">
        <v>151</v>
      </c>
      <c r="L44" s="37"/>
      <c r="M44" s="44" t="s">
        <v>151</v>
      </c>
      <c r="N44" s="37"/>
      <c r="O44" s="44" t="s">
        <v>151</v>
      </c>
      <c r="P44" s="37"/>
      <c r="Q44" s="44" t="s">
        <v>151</v>
      </c>
      <c r="R44" s="37"/>
      <c r="S44" s="44" t="s">
        <v>151</v>
      </c>
      <c r="T44" s="37"/>
      <c r="U44" s="44" t="s">
        <v>151</v>
      </c>
      <c r="V44" s="37"/>
      <c r="W44" s="44" t="s">
        <v>151</v>
      </c>
      <c r="X44" s="37"/>
      <c r="Y44" s="44" t="s">
        <v>151</v>
      </c>
      <c r="Z44" s="37"/>
      <c r="AA44" s="44" t="s">
        <v>151</v>
      </c>
      <c r="AB44" s="37"/>
      <c r="AC44" s="44" t="s">
        <v>151</v>
      </c>
      <c r="AD44" s="37"/>
      <c r="AE44" s="1" t="s">
        <v>163</v>
      </c>
      <c r="AK44" s="4" t="str">
        <f t="shared" si="3"/>
        <v/>
      </c>
      <c r="AL44" s="4"/>
      <c r="AM44" s="4" t="str">
        <f t="shared" si="4"/>
        <v/>
      </c>
      <c r="AN44" s="4" t="str">
        <f>IFERROR(_xlfn.XLOOKUP(HEX2DEC(MID(AM44,LEN(AM44)-7,4)),mscod[MSCOD_BY_VAL],mscod[Description],""),"")</f>
        <v/>
      </c>
      <c r="AO44" s="4" t="str" cm="1">
        <f t="array" ref="AO44">_xlfn.XLOOKUP($K$1&amp;$Q$1&amp;"DPMB_SOCKET0__COMPUTE"&amp;AK44&amp;"__UNCORE__CHA__CHA"&amp;AL44&amp;"__UTIL__MC_ADDR"&amp;$B$1,cha_mc[VisualId]&amp;cha_mc[UnitTestingSeqKey]&amp;cha_mc[TestName],cha_mc[TestValue],"")</f>
        <v/>
      </c>
      <c r="AP44" s="4" t="str" cm="1">
        <f t="array" ref="AP44">_xlfn.XLOOKUP($K$1&amp;$Q$1&amp;"DPMB_SOCKET0__COMPUTE"&amp;AK44&amp;"__UNCORE__CHA__CHA"&amp;AL44&amp;"__UTIL__MC_MISC"&amp;$B$1,cha_mc[VisualId]&amp;cha_mc[UnitTestingSeqKey]&amp;cha_mc[TestName],cha_mc[TestValue],"")</f>
        <v/>
      </c>
      <c r="AQ44" s="30"/>
      <c r="AR44" s="30"/>
      <c r="AS44" s="30"/>
      <c r="AT44" s="30"/>
      <c r="AU44" s="30"/>
      <c r="AV44" s="4" t="str" cm="1">
        <f t="array" ref="AV44">_xlfn.XLOOKUP($K$1&amp;$Q$1&amp;"DPMB_SOCKET0__COMPUTE"&amp;AK44&amp;"__UNCORE__CHA__CHA"&amp;AL44&amp;"__UTIL__MC_MISC3"&amp;$B$1,cha_mc[VisualId]&amp;cha_mc[UnitTestingSeqKey]&amp;cha_mc[TestName],cha_mc[TestValue],"")</f>
        <v/>
      </c>
      <c r="AW44" s="30"/>
      <c r="AX44" s="30"/>
      <c r="AY44" s="30"/>
      <c r="AZ44" s="30"/>
      <c r="BA44" s="30"/>
    </row>
    <row r="45" spans="1:53" x14ac:dyDescent="0.3">
      <c r="A45" s="4" t="str">
        <f t="shared" si="5"/>
        <v>74X97M1000031</v>
      </c>
      <c r="B45" s="4" t="str">
        <f t="shared" si="1"/>
        <v>1-1</v>
      </c>
      <c r="C45" s="4">
        <v>0</v>
      </c>
      <c r="D45" s="4">
        <v>41</v>
      </c>
      <c r="E45" s="4" t="str" cm="1">
        <f t="array" ref="E45">_xlfn.XLOOKUP(A45&amp;B45&amp;$E$1&amp;"DPMB_SOCKET0__COMPUTE"&amp;C45&amp;"__CPU__CORE"&amp;Check!D45&amp;"__ML2_CR_MC3_STATUS"&amp;$B$1,core_mc[VisualId]&amp;core_mc[PPVRun_MC]&amp;core_mc[Lot]&amp;core_mc[TestNameWithoutNumeric],core_mc[TestValue],"")</f>
        <v/>
      </c>
      <c r="F45" s="4">
        <v>41</v>
      </c>
      <c r="G45" s="4" t="str" cm="1">
        <f t="array" ref="G45">_xlfn.XLOOKUP(A45&amp;B45&amp;$E$1&amp;"DPMB_SOCKET0__COMPUTE"&amp;C45&amp;"__UNCORE__CHA__CHA"&amp;Check!F45&amp;"__UTIL__MC_STATUS"&amp;$B$1,cha_mc[VisualId]&amp;cha_mc[PPVRun_MC]&amp;cha_mc[Lot]&amp;cha_mc[TestNameWithoutNumeric],cha_mc[TestValue],"")</f>
        <v/>
      </c>
      <c r="H45" s="4" t="str">
        <f t="shared" si="2"/>
        <v/>
      </c>
      <c r="J45" s="36">
        <v>1</v>
      </c>
      <c r="K45" s="52">
        <f>K28+60</f>
        <v>120</v>
      </c>
      <c r="L45" s="5" t="str">
        <f>"CORE"&amp;K45</f>
        <v>CORE120</v>
      </c>
      <c r="M45" s="52">
        <f>M28+60</f>
        <v>122</v>
      </c>
      <c r="N45" s="5" t="str">
        <f>"CORE"&amp;M45</f>
        <v>CORE122</v>
      </c>
      <c r="O45" s="52">
        <f>O28+60</f>
        <v>129</v>
      </c>
      <c r="P45" s="5" t="str">
        <f>"CORE"&amp;O45</f>
        <v>CORE129</v>
      </c>
      <c r="Q45" s="52">
        <f>Q28+60</f>
        <v>136</v>
      </c>
      <c r="R45" s="5" t="str">
        <f>"CORE"&amp;Q45</f>
        <v>CORE136</v>
      </c>
      <c r="S45" s="52">
        <f>S28+60</f>
        <v>143</v>
      </c>
      <c r="T45" s="5" t="str">
        <f>"CORE"&amp;S45</f>
        <v>CORE143</v>
      </c>
      <c r="U45" s="52">
        <f>U28+60</f>
        <v>150</v>
      </c>
      <c r="V45" s="5" t="str">
        <f>"CORE"&amp;U45</f>
        <v>CORE150</v>
      </c>
      <c r="W45" s="52">
        <f>W28+60</f>
        <v>157</v>
      </c>
      <c r="X45" s="5" t="str">
        <f>"CORE"&amp;W45</f>
        <v>CORE157</v>
      </c>
      <c r="Y45" s="52">
        <f>Y28+60</f>
        <v>164</v>
      </c>
      <c r="Z45" s="5" t="str">
        <f>"CORE"&amp;Y45</f>
        <v>CORE164</v>
      </c>
      <c r="AA45" s="52">
        <f>AA28+60</f>
        <v>171</v>
      </c>
      <c r="AB45" s="5" t="str">
        <f>"CORE"&amp;AA45</f>
        <v>CORE171</v>
      </c>
      <c r="AC45" s="52">
        <f>AC28+60</f>
        <v>178</v>
      </c>
      <c r="AD45" s="5" t="str">
        <f>"CORE"&amp;AC45</f>
        <v>CORE178</v>
      </c>
      <c r="AE45" s="36">
        <v>1</v>
      </c>
      <c r="AK45" s="4" t="str">
        <f t="shared" si="3"/>
        <v/>
      </c>
      <c r="AL45" s="4"/>
      <c r="AM45" s="4" t="str">
        <f t="shared" si="4"/>
        <v/>
      </c>
      <c r="AN45" s="4" t="str">
        <f>IFERROR(_xlfn.XLOOKUP(HEX2DEC(MID(AM45,LEN(AM45)-7,4)),mscod[MSCOD_BY_VAL],mscod[Description],""),"")</f>
        <v/>
      </c>
      <c r="AO45" s="4" t="str" cm="1">
        <f t="array" ref="AO45">_xlfn.XLOOKUP($K$1&amp;$Q$1&amp;"DPMB_SOCKET0__COMPUTE"&amp;AK45&amp;"__UNCORE__CHA__CHA"&amp;AL45&amp;"__UTIL__MC_ADDR"&amp;$B$1,cha_mc[VisualId]&amp;cha_mc[UnitTestingSeqKey]&amp;cha_mc[TestName],cha_mc[TestValue],"")</f>
        <v/>
      </c>
      <c r="AP45" s="4" t="str" cm="1">
        <f t="array" ref="AP45">_xlfn.XLOOKUP($K$1&amp;$Q$1&amp;"DPMB_SOCKET0__COMPUTE"&amp;AK45&amp;"__UNCORE__CHA__CHA"&amp;AL45&amp;"__UTIL__MC_MISC"&amp;$B$1,cha_mc[VisualId]&amp;cha_mc[UnitTestingSeqKey]&amp;cha_mc[TestName],cha_mc[TestValue],"")</f>
        <v/>
      </c>
      <c r="AQ45" s="30"/>
      <c r="AR45" s="30"/>
      <c r="AS45" s="30"/>
      <c r="AT45" s="30"/>
      <c r="AU45" s="30"/>
      <c r="AV45" s="4" t="str" cm="1">
        <f t="array" ref="AV45">_xlfn.XLOOKUP($K$1&amp;$Q$1&amp;"DPMB_SOCKET0__COMPUTE"&amp;AK45&amp;"__UNCORE__CHA__CHA"&amp;AL45&amp;"__UTIL__MC_MISC3"&amp;$B$1,cha_mc[VisualId]&amp;cha_mc[UnitTestingSeqKey]&amp;cha_mc[TestName],cha_mc[TestValue],"")</f>
        <v/>
      </c>
      <c r="AW45" s="30"/>
      <c r="AX45" s="30"/>
      <c r="AY45" s="30"/>
      <c r="AZ45" s="30"/>
      <c r="BA45" s="30"/>
    </row>
    <row r="46" spans="1:53" x14ac:dyDescent="0.3">
      <c r="A46" s="4" t="str">
        <f t="shared" si="5"/>
        <v>74X97M1000031</v>
      </c>
      <c r="B46" s="4" t="str">
        <f t="shared" si="1"/>
        <v>1-1</v>
      </c>
      <c r="C46" s="4">
        <v>0</v>
      </c>
      <c r="D46" s="4">
        <v>42</v>
      </c>
      <c r="E46" s="4" t="str" cm="1">
        <f t="array" ref="E46">_xlfn.XLOOKUP(A46&amp;B46&amp;$E$1&amp;"DPMB_SOCKET0__COMPUTE"&amp;C46&amp;"__CPU__CORE"&amp;Check!D46&amp;"__ML2_CR_MC3_STATUS"&amp;$B$1,core_mc[VisualId]&amp;core_mc[PPVRun_MC]&amp;core_mc[Lot]&amp;core_mc[TestNameWithoutNumeric],core_mc[TestValue],"")</f>
        <v/>
      </c>
      <c r="F46" s="4">
        <v>42</v>
      </c>
      <c r="G46" s="4" t="str" cm="1">
        <f t="array" ref="G46">_xlfn.XLOOKUP(A46&amp;B46&amp;$E$1&amp;"DPMB_SOCKET0__COMPUTE"&amp;C46&amp;"__UNCORE__CHA__CHA"&amp;Check!F46&amp;"__UTIL__MC_STATUS"&amp;$B$1,cha_mc[VisualId]&amp;cha_mc[PPVRun_MC]&amp;cha_mc[Lot]&amp;cha_mc[TestNameWithoutNumeric],cha_mc[TestValue],"")</f>
        <v/>
      </c>
      <c r="H46" s="4" t="str">
        <f t="shared" si="2"/>
        <v/>
      </c>
      <c r="J46" s="51"/>
      <c r="K46" s="51"/>
      <c r="L46" s="5" t="str">
        <f>"CHA"&amp;K45</f>
        <v>CHA120</v>
      </c>
      <c r="M46" s="51"/>
      <c r="N46" s="5" t="str">
        <f>"CHA"&amp;M45</f>
        <v>CHA122</v>
      </c>
      <c r="O46" s="51"/>
      <c r="P46" s="5" t="str">
        <f>"CHA"&amp;O45</f>
        <v>CHA129</v>
      </c>
      <c r="Q46" s="51"/>
      <c r="R46" s="5" t="str">
        <f>"CHA"&amp;Q45</f>
        <v>CHA136</v>
      </c>
      <c r="S46" s="51"/>
      <c r="T46" s="5" t="str">
        <f>"CHA"&amp;S45</f>
        <v>CHA143</v>
      </c>
      <c r="U46" s="51"/>
      <c r="V46" s="5" t="str">
        <f>"CHA"&amp;U45</f>
        <v>CHA150</v>
      </c>
      <c r="W46" s="51"/>
      <c r="X46" s="5" t="str">
        <f>"CHA"&amp;W45</f>
        <v>CHA157</v>
      </c>
      <c r="Y46" s="51"/>
      <c r="Z46" s="5" t="str">
        <f>"CHA"&amp;Y45</f>
        <v>CHA164</v>
      </c>
      <c r="AA46" s="51"/>
      <c r="AB46" s="5" t="str">
        <f>"CHA"&amp;AA45</f>
        <v>CHA171</v>
      </c>
      <c r="AC46" s="51"/>
      <c r="AD46" s="5" t="str">
        <f>"CHA"&amp;AC45</f>
        <v>CHA178</v>
      </c>
      <c r="AE46" s="51"/>
      <c r="AK46" s="4" t="str">
        <f t="shared" si="3"/>
        <v/>
      </c>
      <c r="AL46" s="4"/>
      <c r="AM46" s="4" t="str">
        <f t="shared" si="4"/>
        <v/>
      </c>
      <c r="AN46" s="4" t="str">
        <f>IFERROR(_xlfn.XLOOKUP(HEX2DEC(MID(AM46,LEN(AM46)-7,4)),mscod[MSCOD_BY_VAL],mscod[Description],""),"")</f>
        <v/>
      </c>
      <c r="AO46" s="4" t="str" cm="1">
        <f t="array" ref="AO46">_xlfn.XLOOKUP($K$1&amp;$Q$1&amp;"DPMB_SOCKET0__COMPUTE"&amp;AK46&amp;"__UNCORE__CHA__CHA"&amp;AL46&amp;"__UTIL__MC_ADDR"&amp;$B$1,cha_mc[VisualId]&amp;cha_mc[UnitTestingSeqKey]&amp;cha_mc[TestName],cha_mc[TestValue],"")</f>
        <v/>
      </c>
      <c r="AP46" s="4" t="str" cm="1">
        <f t="array" ref="AP46">_xlfn.XLOOKUP($K$1&amp;$Q$1&amp;"DPMB_SOCKET0__COMPUTE"&amp;AK46&amp;"__UNCORE__CHA__CHA"&amp;AL46&amp;"__UTIL__MC_MISC"&amp;$B$1,cha_mc[VisualId]&amp;cha_mc[UnitTestingSeqKey]&amp;cha_mc[TestName],cha_mc[TestValue],"")</f>
        <v/>
      </c>
      <c r="AQ46" s="30"/>
      <c r="AR46" s="30"/>
      <c r="AS46" s="30"/>
      <c r="AT46" s="30"/>
      <c r="AU46" s="30"/>
      <c r="AV46" s="4" t="str" cm="1">
        <f t="array" ref="AV46">_xlfn.XLOOKUP($K$1&amp;$Q$1&amp;"DPMB_SOCKET0__COMPUTE"&amp;AK46&amp;"__UNCORE__CHA__CHA"&amp;AL46&amp;"__UTIL__MC_MISC3"&amp;$B$1,cha_mc[VisualId]&amp;cha_mc[UnitTestingSeqKey]&amp;cha_mc[TestName],cha_mc[TestValue],"")</f>
        <v/>
      </c>
      <c r="AW46" s="30"/>
      <c r="AX46" s="30"/>
      <c r="AY46" s="30"/>
      <c r="AZ46" s="30"/>
      <c r="BA46" s="30"/>
    </row>
    <row r="47" spans="1:53" x14ac:dyDescent="0.3">
      <c r="A47" s="4" t="str">
        <f t="shared" si="5"/>
        <v>74X97M1000031</v>
      </c>
      <c r="B47" s="4" t="str">
        <f t="shared" si="1"/>
        <v>1-1</v>
      </c>
      <c r="C47" s="4">
        <v>0</v>
      </c>
      <c r="D47" s="4">
        <v>43</v>
      </c>
      <c r="E47" s="4" t="str" cm="1">
        <f t="array" ref="E47">_xlfn.XLOOKUP(A47&amp;B47&amp;$E$1&amp;"DPMB_SOCKET0__COMPUTE"&amp;C47&amp;"__CPU__CORE"&amp;Check!D47&amp;"__ML2_CR_MC3_STATUS"&amp;$B$1,core_mc[VisualId]&amp;core_mc[PPVRun_MC]&amp;core_mc[Lot]&amp;core_mc[TestNameWithoutNumeric],core_mc[TestValue],"")</f>
        <v/>
      </c>
      <c r="F47" s="4">
        <v>43</v>
      </c>
      <c r="G47" s="4" t="str" cm="1">
        <f t="array" ref="G47">_xlfn.XLOOKUP(A47&amp;B47&amp;$E$1&amp;"DPMB_SOCKET0__COMPUTE"&amp;C47&amp;"__UNCORE__CHA__CHA"&amp;Check!F47&amp;"__UTIL__MC_STATUS"&amp;$B$1,cha_mc[VisualId]&amp;cha_mc[PPVRun_MC]&amp;cha_mc[Lot]&amp;cha_mc[TestNameWithoutNumeric],cha_mc[TestValue],"")</f>
        <v/>
      </c>
      <c r="H47" s="4" t="str">
        <f t="shared" si="2"/>
        <v/>
      </c>
      <c r="J47" s="36">
        <v>2</v>
      </c>
      <c r="K47" s="52">
        <f>K30+60</f>
        <v>121</v>
      </c>
      <c r="L47" s="5" t="str">
        <f>"CORE"&amp;K47</f>
        <v>CORE121</v>
      </c>
      <c r="M47" s="52">
        <f>M30+60</f>
        <v>123</v>
      </c>
      <c r="N47" s="5" t="str">
        <f>"CORE"&amp;M47</f>
        <v>CORE123</v>
      </c>
      <c r="O47" s="52">
        <f>O30+60</f>
        <v>130</v>
      </c>
      <c r="P47" s="5" t="str">
        <f>"CORE"&amp;O47</f>
        <v>CORE130</v>
      </c>
      <c r="Q47" s="52">
        <f>Q30+60</f>
        <v>137</v>
      </c>
      <c r="R47" s="5" t="str">
        <f>"CORE"&amp;Q47</f>
        <v>CORE137</v>
      </c>
      <c r="S47" s="52">
        <f>S30+60</f>
        <v>144</v>
      </c>
      <c r="T47" s="5" t="str">
        <f>"CORE"&amp;S47</f>
        <v>CORE144</v>
      </c>
      <c r="U47" s="52">
        <f>U30+60</f>
        <v>151</v>
      </c>
      <c r="V47" s="5" t="str">
        <f>"CORE"&amp;U47</f>
        <v>CORE151</v>
      </c>
      <c r="W47" s="52">
        <f>W30+60</f>
        <v>158</v>
      </c>
      <c r="X47" s="5" t="str">
        <f>"CORE"&amp;W47</f>
        <v>CORE158</v>
      </c>
      <c r="Y47" s="52">
        <f>Y30+60</f>
        <v>165</v>
      </c>
      <c r="Z47" s="5" t="str">
        <f>"CORE"&amp;Y47</f>
        <v>CORE165</v>
      </c>
      <c r="AA47" s="52">
        <f>AA30+60</f>
        <v>172</v>
      </c>
      <c r="AB47" s="5" t="str">
        <f>"CORE"&amp;AA47</f>
        <v>CORE172</v>
      </c>
      <c r="AC47" s="52">
        <f>AC30+60</f>
        <v>179</v>
      </c>
      <c r="AD47" s="5" t="str">
        <f>"CORE"&amp;AC47</f>
        <v>CORE179</v>
      </c>
      <c r="AE47" s="36">
        <v>2</v>
      </c>
      <c r="AK47" s="4" t="str">
        <f t="shared" si="3"/>
        <v/>
      </c>
      <c r="AL47" s="4"/>
      <c r="AM47" s="4" t="str">
        <f t="shared" si="4"/>
        <v/>
      </c>
      <c r="AN47" s="4" t="str">
        <f>IFERROR(_xlfn.XLOOKUP(HEX2DEC(MID(AM47,LEN(AM47)-7,4)),mscod[MSCOD_BY_VAL],mscod[Description],""),"")</f>
        <v/>
      </c>
      <c r="AO47" s="4" t="str" cm="1">
        <f t="array" ref="AO47">_xlfn.XLOOKUP($K$1&amp;$Q$1&amp;"DPMB_SOCKET0__COMPUTE"&amp;AK47&amp;"__UNCORE__CHA__CHA"&amp;AL47&amp;"__UTIL__MC_ADDR"&amp;$B$1,cha_mc[VisualId]&amp;cha_mc[UnitTestingSeqKey]&amp;cha_mc[TestName],cha_mc[TestValue],"")</f>
        <v/>
      </c>
      <c r="AP47" s="4" t="str" cm="1">
        <f t="array" ref="AP47">_xlfn.XLOOKUP($K$1&amp;$Q$1&amp;"DPMB_SOCKET0__COMPUTE"&amp;AK47&amp;"__UNCORE__CHA__CHA"&amp;AL47&amp;"__UTIL__MC_MISC"&amp;$B$1,cha_mc[VisualId]&amp;cha_mc[UnitTestingSeqKey]&amp;cha_mc[TestName],cha_mc[TestValue],"")</f>
        <v/>
      </c>
      <c r="AQ47" s="30"/>
      <c r="AR47" s="30"/>
      <c r="AS47" s="30"/>
      <c r="AT47" s="30"/>
      <c r="AU47" s="30"/>
      <c r="AV47" s="4" t="str" cm="1">
        <f t="array" ref="AV47">_xlfn.XLOOKUP($K$1&amp;$Q$1&amp;"DPMB_SOCKET0__COMPUTE"&amp;AK47&amp;"__UNCORE__CHA__CHA"&amp;AL47&amp;"__UTIL__MC_MISC3"&amp;$B$1,cha_mc[VisualId]&amp;cha_mc[UnitTestingSeqKey]&amp;cha_mc[TestName],cha_mc[TestValue],"")</f>
        <v/>
      </c>
      <c r="AW47" s="30"/>
      <c r="AX47" s="30"/>
      <c r="AY47" s="30"/>
      <c r="AZ47" s="30"/>
      <c r="BA47" s="30"/>
    </row>
    <row r="48" spans="1:53" x14ac:dyDescent="0.3">
      <c r="A48" s="4" t="str">
        <f t="shared" si="5"/>
        <v>74X97M1000031</v>
      </c>
      <c r="B48" s="4" t="str">
        <f t="shared" si="1"/>
        <v>1-1</v>
      </c>
      <c r="C48" s="4">
        <v>0</v>
      </c>
      <c r="D48" s="4">
        <v>44</v>
      </c>
      <c r="E48" s="4" t="str" cm="1">
        <f t="array" ref="E48">_xlfn.XLOOKUP(A48&amp;B48&amp;$E$1&amp;"DPMB_SOCKET0__COMPUTE"&amp;C48&amp;"__CPU__CORE"&amp;Check!D48&amp;"__ML2_CR_MC3_STATUS"&amp;$B$1,core_mc[VisualId]&amp;core_mc[PPVRun_MC]&amp;core_mc[Lot]&amp;core_mc[TestNameWithoutNumeric],core_mc[TestValue],"")</f>
        <v/>
      </c>
      <c r="F48" s="4">
        <v>44</v>
      </c>
      <c r="G48" s="4" t="str" cm="1">
        <f t="array" ref="G48">_xlfn.XLOOKUP(A48&amp;B48&amp;$E$1&amp;"DPMB_SOCKET0__COMPUTE"&amp;C48&amp;"__UNCORE__CHA__CHA"&amp;Check!F48&amp;"__UTIL__MC_STATUS"&amp;$B$1,cha_mc[VisualId]&amp;cha_mc[PPVRun_MC]&amp;cha_mc[Lot]&amp;cha_mc[TestNameWithoutNumeric],cha_mc[TestValue],"")</f>
        <v/>
      </c>
      <c r="H48" s="4" t="str">
        <f t="shared" si="2"/>
        <v/>
      </c>
      <c r="J48" s="51"/>
      <c r="K48" s="51"/>
      <c r="L48" s="5" t="str">
        <f>"CHA"&amp;K47</f>
        <v>CHA121</v>
      </c>
      <c r="M48" s="51"/>
      <c r="N48" s="5" t="str">
        <f>"CHA"&amp;M47</f>
        <v>CHA123</v>
      </c>
      <c r="O48" s="51"/>
      <c r="P48" s="5" t="str">
        <f>"CHA"&amp;O47</f>
        <v>CHA130</v>
      </c>
      <c r="Q48" s="51"/>
      <c r="R48" s="5" t="str">
        <f>"CHA"&amp;Q47</f>
        <v>CHA137</v>
      </c>
      <c r="S48" s="51"/>
      <c r="T48" s="5" t="str">
        <f>"CHA"&amp;S47</f>
        <v>CHA144</v>
      </c>
      <c r="U48" s="51"/>
      <c r="V48" s="5" t="str">
        <f>"CHA"&amp;U47</f>
        <v>CHA151</v>
      </c>
      <c r="W48" s="51"/>
      <c r="X48" s="5" t="str">
        <f>"CHA"&amp;W47</f>
        <v>CHA158</v>
      </c>
      <c r="Y48" s="51"/>
      <c r="Z48" s="5" t="str">
        <f>"CHA"&amp;Y47</f>
        <v>CHA165</v>
      </c>
      <c r="AA48" s="51"/>
      <c r="AB48" s="5" t="str">
        <f>"CHA"&amp;AA47</f>
        <v>CHA172</v>
      </c>
      <c r="AC48" s="51"/>
      <c r="AD48" s="5" t="str">
        <f>"CHA"&amp;AC47</f>
        <v>CHA179</v>
      </c>
      <c r="AE48" s="51"/>
      <c r="AK48" s="4" t="str">
        <f t="shared" si="3"/>
        <v/>
      </c>
      <c r="AL48" s="4"/>
      <c r="AM48" s="4" t="str">
        <f t="shared" si="4"/>
        <v/>
      </c>
      <c r="AN48" s="4" t="str">
        <f>IFERROR(_xlfn.XLOOKUP(HEX2DEC(MID(AM48,LEN(AM48)-7,4)),mscod[MSCOD_BY_VAL],mscod[Description],""),"")</f>
        <v/>
      </c>
      <c r="AO48" s="4" t="str" cm="1">
        <f t="array" ref="AO48">_xlfn.XLOOKUP($K$1&amp;$Q$1&amp;"DPMB_SOCKET0__COMPUTE"&amp;AK48&amp;"__UNCORE__CHA__CHA"&amp;AL48&amp;"__UTIL__MC_ADDR"&amp;$B$1,cha_mc[VisualId]&amp;cha_mc[UnitTestingSeqKey]&amp;cha_mc[TestName],cha_mc[TestValue],"")</f>
        <v/>
      </c>
      <c r="AP48" s="4" t="str" cm="1">
        <f t="array" ref="AP48">_xlfn.XLOOKUP($K$1&amp;$Q$1&amp;"DPMB_SOCKET0__COMPUTE"&amp;AK48&amp;"__UNCORE__CHA__CHA"&amp;AL48&amp;"__UTIL__MC_MISC"&amp;$B$1,cha_mc[VisualId]&amp;cha_mc[UnitTestingSeqKey]&amp;cha_mc[TestName],cha_mc[TestValue],"")</f>
        <v/>
      </c>
      <c r="AQ48" s="30"/>
      <c r="AR48" s="30"/>
      <c r="AS48" s="30"/>
      <c r="AT48" s="30"/>
      <c r="AU48" s="30"/>
      <c r="AV48" s="4" t="str" cm="1">
        <f t="array" ref="AV48">_xlfn.XLOOKUP($K$1&amp;$Q$1&amp;"DPMB_SOCKET0__COMPUTE"&amp;AK48&amp;"__UNCORE__CHA__CHA"&amp;AL48&amp;"__UTIL__MC_MISC3"&amp;$B$1,cha_mc[VisualId]&amp;cha_mc[UnitTestingSeqKey]&amp;cha_mc[TestName],cha_mc[TestValue],"")</f>
        <v/>
      </c>
      <c r="AW48" s="30"/>
      <c r="AX48" s="30"/>
      <c r="AY48" s="30"/>
      <c r="AZ48" s="30"/>
      <c r="BA48" s="30"/>
    </row>
    <row r="49" spans="1:53" x14ac:dyDescent="0.3">
      <c r="A49" s="4" t="str">
        <f t="shared" si="5"/>
        <v>74X97M1000031</v>
      </c>
      <c r="B49" s="4" t="str">
        <f t="shared" si="1"/>
        <v>1-1</v>
      </c>
      <c r="C49" s="4">
        <v>0</v>
      </c>
      <c r="D49" s="4">
        <v>45</v>
      </c>
      <c r="E49" s="4" t="str" cm="1">
        <f t="array" ref="E49">_xlfn.XLOOKUP(A49&amp;B49&amp;$E$1&amp;"DPMB_SOCKET0__COMPUTE"&amp;C49&amp;"__CPU__CORE"&amp;Check!D49&amp;"__ML2_CR_MC3_STATUS"&amp;$B$1,core_mc[VisualId]&amp;core_mc[PPVRun_MC]&amp;core_mc[Lot]&amp;core_mc[TestNameWithoutNumeric],core_mc[TestValue],"")</f>
        <v/>
      </c>
      <c r="F49" s="4">
        <v>45</v>
      </c>
      <c r="G49" s="4" t="str" cm="1">
        <f t="array" ref="G49">_xlfn.XLOOKUP(A49&amp;B49&amp;$E$1&amp;"DPMB_SOCKET0__COMPUTE"&amp;C49&amp;"__UNCORE__CHA__CHA"&amp;Check!F49&amp;"__UTIL__MC_STATUS"&amp;$B$1,cha_mc[VisualId]&amp;cha_mc[PPVRun_MC]&amp;cha_mc[Lot]&amp;cha_mc[TestNameWithoutNumeric],cha_mc[TestValue],"")</f>
        <v/>
      </c>
      <c r="H49" s="4" t="str">
        <f t="shared" si="2"/>
        <v/>
      </c>
      <c r="J49" s="36">
        <v>3</v>
      </c>
      <c r="K49" s="53" t="s">
        <v>153</v>
      </c>
      <c r="L49" s="55"/>
      <c r="M49" s="53">
        <f>M32+60</f>
        <v>124</v>
      </c>
      <c r="N49" s="14" t="str">
        <f>"CORE"&amp;M49</f>
        <v>CORE124</v>
      </c>
      <c r="O49" s="53">
        <f>O32+60</f>
        <v>131</v>
      </c>
      <c r="P49" s="14" t="str">
        <f>"CORE"&amp;O49</f>
        <v>CORE131</v>
      </c>
      <c r="Q49" s="53">
        <f>Q32+60</f>
        <v>138</v>
      </c>
      <c r="R49" s="14" t="str">
        <f>"CORE"&amp;Q49</f>
        <v>CORE138</v>
      </c>
      <c r="S49" s="53">
        <f>S32+60</f>
        <v>145</v>
      </c>
      <c r="T49" s="14" t="str">
        <f>"CORE"&amp;S49</f>
        <v>CORE145</v>
      </c>
      <c r="U49" s="53">
        <f>U32+60</f>
        <v>152</v>
      </c>
      <c r="V49" s="14" t="str">
        <f>"CORE"&amp;U49</f>
        <v>CORE152</v>
      </c>
      <c r="W49" s="53">
        <f>W32+60</f>
        <v>159</v>
      </c>
      <c r="X49" s="14" t="str">
        <f>"CORE"&amp;W49</f>
        <v>CORE159</v>
      </c>
      <c r="Y49" s="53">
        <f>Y32+60</f>
        <v>166</v>
      </c>
      <c r="Z49" s="14" t="str">
        <f>"CORE"&amp;Y49</f>
        <v>CORE166</v>
      </c>
      <c r="AA49" s="53">
        <f>AA32+60</f>
        <v>173</v>
      </c>
      <c r="AB49" s="14" t="str">
        <f>"CORE"&amp;AA49</f>
        <v>CORE173</v>
      </c>
      <c r="AC49" s="53" t="s">
        <v>154</v>
      </c>
      <c r="AD49" s="55"/>
      <c r="AE49" s="36">
        <v>3</v>
      </c>
      <c r="AK49" s="4" t="str">
        <f t="shared" si="3"/>
        <v/>
      </c>
      <c r="AL49" s="4"/>
      <c r="AM49" s="4" t="str">
        <f t="shared" si="4"/>
        <v/>
      </c>
      <c r="AN49" s="4" t="str">
        <f>IFERROR(_xlfn.XLOOKUP(HEX2DEC(MID(AM49,LEN(AM49)-7,4)),mscod[MSCOD_BY_VAL],mscod[Description],""),"")</f>
        <v/>
      </c>
      <c r="AO49" s="4" t="str" cm="1">
        <f t="array" ref="AO49">_xlfn.XLOOKUP($K$1&amp;$Q$1&amp;"DPMB_SOCKET0__COMPUTE"&amp;AK49&amp;"__UNCORE__CHA__CHA"&amp;AL49&amp;"__UTIL__MC_ADDR"&amp;$B$1,cha_mc[VisualId]&amp;cha_mc[UnitTestingSeqKey]&amp;cha_mc[TestName],cha_mc[TestValue],"")</f>
        <v/>
      </c>
      <c r="AP49" s="4" t="str" cm="1">
        <f t="array" ref="AP49">_xlfn.XLOOKUP($K$1&amp;$Q$1&amp;"DPMB_SOCKET0__COMPUTE"&amp;AK49&amp;"__UNCORE__CHA__CHA"&amp;AL49&amp;"__UTIL__MC_MISC"&amp;$B$1,cha_mc[VisualId]&amp;cha_mc[UnitTestingSeqKey]&amp;cha_mc[TestName],cha_mc[TestValue],"")</f>
        <v/>
      </c>
      <c r="AQ49" s="30"/>
      <c r="AR49" s="30"/>
      <c r="AS49" s="30"/>
      <c r="AT49" s="30"/>
      <c r="AU49" s="30"/>
      <c r="AV49" s="4" t="str" cm="1">
        <f t="array" ref="AV49">_xlfn.XLOOKUP($K$1&amp;$Q$1&amp;"DPMB_SOCKET0__COMPUTE"&amp;AK49&amp;"__UNCORE__CHA__CHA"&amp;AL49&amp;"__UTIL__MC_MISC3"&amp;$B$1,cha_mc[VisualId]&amp;cha_mc[UnitTestingSeqKey]&amp;cha_mc[TestName],cha_mc[TestValue],"")</f>
        <v/>
      </c>
      <c r="AW49" s="30"/>
      <c r="AX49" s="30"/>
      <c r="AY49" s="30"/>
      <c r="AZ49" s="30"/>
      <c r="BA49" s="30"/>
    </row>
    <row r="50" spans="1:53" x14ac:dyDescent="0.3">
      <c r="A50" s="4" t="str">
        <f t="shared" si="5"/>
        <v>74X97M1000031</v>
      </c>
      <c r="B50" s="4" t="str">
        <f t="shared" si="1"/>
        <v>1-1</v>
      </c>
      <c r="C50" s="4">
        <v>0</v>
      </c>
      <c r="D50" s="4">
        <v>46</v>
      </c>
      <c r="E50" s="4" t="str" cm="1">
        <f t="array" ref="E50">_xlfn.XLOOKUP(A50&amp;B50&amp;$E$1&amp;"DPMB_SOCKET0__COMPUTE"&amp;C50&amp;"__CPU__CORE"&amp;Check!D50&amp;"__ML2_CR_MC3_STATUS"&amp;$B$1,core_mc[VisualId]&amp;core_mc[PPVRun_MC]&amp;core_mc[Lot]&amp;core_mc[TestNameWithoutNumeric],core_mc[TestValue],"")</f>
        <v/>
      </c>
      <c r="F50" s="4">
        <v>46</v>
      </c>
      <c r="G50" s="4" t="str" cm="1">
        <f t="array" ref="G50">_xlfn.XLOOKUP(A50&amp;B50&amp;$E$1&amp;"DPMB_SOCKET0__COMPUTE"&amp;C50&amp;"__UNCORE__CHA__CHA"&amp;Check!F50&amp;"__UTIL__MC_STATUS"&amp;$B$1,cha_mc[VisualId]&amp;cha_mc[PPVRun_MC]&amp;cha_mc[Lot]&amp;cha_mc[TestNameWithoutNumeric],cha_mc[TestValue],"")</f>
        <v/>
      </c>
      <c r="H50" s="4" t="str">
        <f t="shared" si="2"/>
        <v/>
      </c>
      <c r="J50" s="51"/>
      <c r="K50" s="56"/>
      <c r="L50" s="57"/>
      <c r="M50" s="54"/>
      <c r="N50" s="14" t="str">
        <f>"CHA"&amp;M49</f>
        <v>CHA124</v>
      </c>
      <c r="O50" s="54"/>
      <c r="P50" s="14" t="str">
        <f>"CHA"&amp;O49</f>
        <v>CHA131</v>
      </c>
      <c r="Q50" s="54"/>
      <c r="R50" s="14" t="str">
        <f>"CHA"&amp;Q49</f>
        <v>CHA138</v>
      </c>
      <c r="S50" s="54"/>
      <c r="T50" s="14" t="str">
        <f>"CHA"&amp;S49</f>
        <v>CHA145</v>
      </c>
      <c r="U50" s="54"/>
      <c r="V50" s="14" t="str">
        <f>"CHA"&amp;U49</f>
        <v>CHA152</v>
      </c>
      <c r="W50" s="54"/>
      <c r="X50" s="14" t="str">
        <f>"CHA"&amp;W49</f>
        <v>CHA159</v>
      </c>
      <c r="Y50" s="54"/>
      <c r="Z50" s="14" t="str">
        <f>"CHA"&amp;Y49</f>
        <v>CHA166</v>
      </c>
      <c r="AA50" s="54"/>
      <c r="AB50" s="14" t="str">
        <f>"CHA"&amp;AA49</f>
        <v>CHA173</v>
      </c>
      <c r="AC50" s="56"/>
      <c r="AD50" s="57"/>
      <c r="AE50" s="51"/>
      <c r="AK50" s="4" t="str">
        <f t="shared" si="3"/>
        <v/>
      </c>
      <c r="AL50" s="4"/>
      <c r="AM50" s="4" t="str">
        <f t="shared" si="4"/>
        <v/>
      </c>
      <c r="AN50" s="4" t="str">
        <f>IFERROR(_xlfn.XLOOKUP(HEX2DEC(MID(AM50,LEN(AM50)-7,4)),mscod[MSCOD_BY_VAL],mscod[Description],""),"")</f>
        <v/>
      </c>
      <c r="AO50" s="4" t="str" cm="1">
        <f t="array" ref="AO50">_xlfn.XLOOKUP($K$1&amp;$Q$1&amp;"DPMB_SOCKET0__COMPUTE"&amp;AK50&amp;"__UNCORE__CHA__CHA"&amp;AL50&amp;"__UTIL__MC_ADDR"&amp;$B$1,cha_mc[VisualId]&amp;cha_mc[UnitTestingSeqKey]&amp;cha_mc[TestName],cha_mc[TestValue],"")</f>
        <v/>
      </c>
      <c r="AP50" s="4" t="str" cm="1">
        <f t="array" ref="AP50">_xlfn.XLOOKUP($K$1&amp;$Q$1&amp;"DPMB_SOCKET0__COMPUTE"&amp;AK50&amp;"__UNCORE__CHA__CHA"&amp;AL50&amp;"__UTIL__MC_MISC"&amp;$B$1,cha_mc[VisualId]&amp;cha_mc[UnitTestingSeqKey]&amp;cha_mc[TestName],cha_mc[TestValue],"")</f>
        <v/>
      </c>
      <c r="AQ50" s="30"/>
      <c r="AR50" s="30"/>
      <c r="AS50" s="30"/>
      <c r="AT50" s="30"/>
      <c r="AU50" s="30"/>
      <c r="AV50" s="4" t="str" cm="1">
        <f t="array" ref="AV50">_xlfn.XLOOKUP($K$1&amp;$Q$1&amp;"DPMB_SOCKET0__COMPUTE"&amp;AK50&amp;"__UNCORE__CHA__CHA"&amp;AL50&amp;"__UTIL__MC_MISC3"&amp;$B$1,cha_mc[VisualId]&amp;cha_mc[UnitTestingSeqKey]&amp;cha_mc[TestName],cha_mc[TestValue],"")</f>
        <v/>
      </c>
      <c r="AW50" s="30"/>
      <c r="AX50" s="30"/>
      <c r="AY50" s="30"/>
      <c r="AZ50" s="30"/>
      <c r="BA50" s="30"/>
    </row>
    <row r="51" spans="1:53" x14ac:dyDescent="0.3">
      <c r="A51" s="4" t="str">
        <f t="shared" si="5"/>
        <v>74X97M1000031</v>
      </c>
      <c r="B51" s="4" t="str">
        <f t="shared" si="1"/>
        <v>1-1</v>
      </c>
      <c r="C51" s="4">
        <v>0</v>
      </c>
      <c r="D51" s="4">
        <v>47</v>
      </c>
      <c r="E51" s="4" t="str" cm="1">
        <f t="array" ref="E51">_xlfn.XLOOKUP(A51&amp;B51&amp;$E$1&amp;"DPMB_SOCKET0__COMPUTE"&amp;C51&amp;"__CPU__CORE"&amp;Check!D51&amp;"__ML2_CR_MC3_STATUS"&amp;$B$1,core_mc[VisualId]&amp;core_mc[PPVRun_MC]&amp;core_mc[Lot]&amp;core_mc[TestNameWithoutNumeric],core_mc[TestValue],"")</f>
        <v/>
      </c>
      <c r="F51" s="4">
        <v>47</v>
      </c>
      <c r="G51" s="4" t="str" cm="1">
        <f t="array" ref="G51">_xlfn.XLOOKUP(A51&amp;B51&amp;$E$1&amp;"DPMB_SOCKET0__COMPUTE"&amp;C51&amp;"__UNCORE__CHA__CHA"&amp;Check!F51&amp;"__UTIL__MC_STATUS"&amp;$B$1,cha_mc[VisualId]&amp;cha_mc[PPVRun_MC]&amp;cha_mc[Lot]&amp;cha_mc[TestNameWithoutNumeric],cha_mc[TestValue],"")</f>
        <v/>
      </c>
      <c r="H51" s="4" t="str">
        <f t="shared" si="2"/>
        <v/>
      </c>
      <c r="J51" s="36">
        <v>4</v>
      </c>
      <c r="K51" s="53" t="s">
        <v>155</v>
      </c>
      <c r="L51" s="55"/>
      <c r="M51" s="53">
        <f>M34+60</f>
        <v>125</v>
      </c>
      <c r="N51" s="14" t="str">
        <f>"CORE"&amp;M51</f>
        <v>CORE125</v>
      </c>
      <c r="O51" s="53">
        <f>O34+60</f>
        <v>132</v>
      </c>
      <c r="P51" s="14" t="str">
        <f>"CORE"&amp;O51</f>
        <v>CORE132</v>
      </c>
      <c r="Q51" s="53">
        <f>Q34+60</f>
        <v>139</v>
      </c>
      <c r="R51" s="14" t="str">
        <f>"CORE"&amp;Q51</f>
        <v>CORE139</v>
      </c>
      <c r="S51" s="53">
        <f>S34+60</f>
        <v>146</v>
      </c>
      <c r="T51" s="14" t="str">
        <f>"CORE"&amp;S51</f>
        <v>CORE146</v>
      </c>
      <c r="U51" s="53">
        <f>U34+60</f>
        <v>153</v>
      </c>
      <c r="V51" s="14" t="str">
        <f>"CORE"&amp;U51</f>
        <v>CORE153</v>
      </c>
      <c r="W51" s="53">
        <f>W34+60</f>
        <v>160</v>
      </c>
      <c r="X51" s="14" t="str">
        <f>"CORE"&amp;W51</f>
        <v>CORE160</v>
      </c>
      <c r="Y51" s="53">
        <f>Y34+60</f>
        <v>167</v>
      </c>
      <c r="Z51" s="14" t="str">
        <f>"CORE"&amp;Y51</f>
        <v>CORE167</v>
      </c>
      <c r="AA51" s="53">
        <f>AA34+60</f>
        <v>174</v>
      </c>
      <c r="AB51" s="14" t="str">
        <f>"CORE"&amp;AA51</f>
        <v>CORE174</v>
      </c>
      <c r="AC51" s="53" t="s">
        <v>156</v>
      </c>
      <c r="AD51" s="55"/>
      <c r="AE51" s="36">
        <v>4</v>
      </c>
      <c r="AK51" s="4" t="str">
        <f t="shared" si="3"/>
        <v/>
      </c>
      <c r="AL51" s="4"/>
      <c r="AM51" s="4" t="str">
        <f t="shared" si="4"/>
        <v/>
      </c>
      <c r="AN51" s="4" t="str">
        <f>IFERROR(_xlfn.XLOOKUP(HEX2DEC(MID(AM51,LEN(AM51)-7,4)),mscod[MSCOD_BY_VAL],mscod[Description],""),"")</f>
        <v/>
      </c>
      <c r="AO51" s="4" t="str" cm="1">
        <f t="array" ref="AO51">_xlfn.XLOOKUP($K$1&amp;$Q$1&amp;"DPMB_SOCKET0__COMPUTE"&amp;AK51&amp;"__UNCORE__CHA__CHA"&amp;AL51&amp;"__UTIL__MC_ADDR"&amp;$B$1,cha_mc[VisualId]&amp;cha_mc[UnitTestingSeqKey]&amp;cha_mc[TestName],cha_mc[TestValue],"")</f>
        <v/>
      </c>
      <c r="AP51" s="4" t="str" cm="1">
        <f t="array" ref="AP51">_xlfn.XLOOKUP($K$1&amp;$Q$1&amp;"DPMB_SOCKET0__COMPUTE"&amp;AK51&amp;"__UNCORE__CHA__CHA"&amp;AL51&amp;"__UTIL__MC_MISC"&amp;$B$1,cha_mc[VisualId]&amp;cha_mc[UnitTestingSeqKey]&amp;cha_mc[TestName],cha_mc[TestValue],"")</f>
        <v/>
      </c>
      <c r="AQ51" s="30"/>
      <c r="AR51" s="30"/>
      <c r="AS51" s="30"/>
      <c r="AT51" s="30"/>
      <c r="AU51" s="30"/>
      <c r="AV51" s="4" t="str" cm="1">
        <f t="array" ref="AV51">_xlfn.XLOOKUP($K$1&amp;$Q$1&amp;"DPMB_SOCKET0__COMPUTE"&amp;AK51&amp;"__UNCORE__CHA__CHA"&amp;AL51&amp;"__UTIL__MC_MISC3"&amp;$B$1,cha_mc[VisualId]&amp;cha_mc[UnitTestingSeqKey]&amp;cha_mc[TestName],cha_mc[TestValue],"")</f>
        <v/>
      </c>
      <c r="AW51" s="30"/>
      <c r="AX51" s="30"/>
      <c r="AY51" s="30"/>
      <c r="AZ51" s="30"/>
      <c r="BA51" s="30"/>
    </row>
    <row r="52" spans="1:53" x14ac:dyDescent="0.3">
      <c r="A52" s="4" t="str">
        <f t="shared" si="5"/>
        <v>74X97M1000031</v>
      </c>
      <c r="B52" s="4" t="str">
        <f t="shared" si="1"/>
        <v>1-1</v>
      </c>
      <c r="C52" s="4">
        <v>0</v>
      </c>
      <c r="D52" s="4">
        <v>48</v>
      </c>
      <c r="E52" s="4" t="str" cm="1">
        <f t="array" ref="E52">_xlfn.XLOOKUP(A52&amp;B52&amp;$E$1&amp;"DPMB_SOCKET0__COMPUTE"&amp;C52&amp;"__CPU__CORE"&amp;Check!D52&amp;"__ML2_CR_MC3_STATUS"&amp;$B$1,core_mc[VisualId]&amp;core_mc[PPVRun_MC]&amp;core_mc[Lot]&amp;core_mc[TestNameWithoutNumeric],core_mc[TestValue],"")</f>
        <v/>
      </c>
      <c r="F52" s="4">
        <v>48</v>
      </c>
      <c r="G52" s="4" t="str" cm="1">
        <f t="array" ref="G52">_xlfn.XLOOKUP(A52&amp;B52&amp;$E$1&amp;"DPMB_SOCKET0__COMPUTE"&amp;C52&amp;"__UNCORE__CHA__CHA"&amp;Check!F52&amp;"__UTIL__MC_STATUS"&amp;$B$1,cha_mc[VisualId]&amp;cha_mc[PPVRun_MC]&amp;cha_mc[Lot]&amp;cha_mc[TestNameWithoutNumeric],cha_mc[TestValue],"")</f>
        <v/>
      </c>
      <c r="H52" s="4" t="str">
        <f t="shared" si="2"/>
        <v/>
      </c>
      <c r="J52" s="51"/>
      <c r="K52" s="56"/>
      <c r="L52" s="57"/>
      <c r="M52" s="54"/>
      <c r="N52" s="14" t="str">
        <f>"CHA"&amp;M51</f>
        <v>CHA125</v>
      </c>
      <c r="O52" s="54"/>
      <c r="P52" s="14" t="str">
        <f>"CHA"&amp;O51</f>
        <v>CHA132</v>
      </c>
      <c r="Q52" s="54"/>
      <c r="R52" s="14" t="str">
        <f>"CHA"&amp;Q51</f>
        <v>CHA139</v>
      </c>
      <c r="S52" s="54"/>
      <c r="T52" s="14" t="str">
        <f>"CHA"&amp;S51</f>
        <v>CHA146</v>
      </c>
      <c r="U52" s="54"/>
      <c r="V52" s="14" t="str">
        <f>"CHA"&amp;U51</f>
        <v>CHA153</v>
      </c>
      <c r="W52" s="54"/>
      <c r="X52" s="14" t="str">
        <f>"CHA"&amp;W51</f>
        <v>CHA160</v>
      </c>
      <c r="Y52" s="54"/>
      <c r="Z52" s="14" t="str">
        <f>"CHA"&amp;Y51</f>
        <v>CHA167</v>
      </c>
      <c r="AA52" s="54"/>
      <c r="AB52" s="14" t="str">
        <f>"CHA"&amp;AA51</f>
        <v>CHA174</v>
      </c>
      <c r="AC52" s="56"/>
      <c r="AD52" s="57"/>
      <c r="AE52" s="51"/>
      <c r="AK52" s="4" t="str">
        <f t="shared" si="3"/>
        <v/>
      </c>
      <c r="AL52" s="4"/>
      <c r="AM52" s="4" t="str">
        <f t="shared" si="4"/>
        <v/>
      </c>
      <c r="AN52" s="4" t="str">
        <f>IFERROR(_xlfn.XLOOKUP(HEX2DEC(MID(AM52,LEN(AM52)-7,4)),mscod[MSCOD_BY_VAL],mscod[Description],""),"")</f>
        <v/>
      </c>
      <c r="AO52" s="4" t="str" cm="1">
        <f t="array" ref="AO52">_xlfn.XLOOKUP($K$1&amp;$Q$1&amp;"DPMB_SOCKET0__COMPUTE"&amp;AK52&amp;"__UNCORE__CHA__CHA"&amp;AL52&amp;"__UTIL__MC_ADDR"&amp;$B$1,cha_mc[VisualId]&amp;cha_mc[UnitTestingSeqKey]&amp;cha_mc[TestName],cha_mc[TestValue],"")</f>
        <v/>
      </c>
      <c r="AP52" s="4" t="str" cm="1">
        <f t="array" ref="AP52">_xlfn.XLOOKUP($K$1&amp;$Q$1&amp;"DPMB_SOCKET0__COMPUTE"&amp;AK52&amp;"__UNCORE__CHA__CHA"&amp;AL52&amp;"__UTIL__MC_MISC"&amp;$B$1,cha_mc[VisualId]&amp;cha_mc[UnitTestingSeqKey]&amp;cha_mc[TestName],cha_mc[TestValue],"")</f>
        <v/>
      </c>
      <c r="AQ52" s="30"/>
      <c r="AR52" s="30"/>
      <c r="AS52" s="30"/>
      <c r="AT52" s="30"/>
      <c r="AU52" s="30"/>
      <c r="AV52" s="4" t="str" cm="1">
        <f t="array" ref="AV52">_xlfn.XLOOKUP($K$1&amp;$Q$1&amp;"DPMB_SOCKET0__COMPUTE"&amp;AK52&amp;"__UNCORE__CHA__CHA"&amp;AL52&amp;"__UTIL__MC_MISC3"&amp;$B$1,cha_mc[VisualId]&amp;cha_mc[UnitTestingSeqKey]&amp;cha_mc[TestName],cha_mc[TestValue],"")</f>
        <v/>
      </c>
      <c r="AW52" s="30"/>
      <c r="AX52" s="30"/>
      <c r="AY52" s="30"/>
      <c r="AZ52" s="30"/>
      <c r="BA52" s="30"/>
    </row>
    <row r="53" spans="1:53" x14ac:dyDescent="0.3">
      <c r="A53" s="4" t="str">
        <f t="shared" si="5"/>
        <v>74X97M1000031</v>
      </c>
      <c r="B53" s="4" t="str">
        <f t="shared" si="1"/>
        <v>1-1</v>
      </c>
      <c r="C53" s="4">
        <v>0</v>
      </c>
      <c r="D53" s="4">
        <v>49</v>
      </c>
      <c r="E53" s="4" t="str" cm="1">
        <f t="array" ref="E53">_xlfn.XLOOKUP(A53&amp;B53&amp;$E$1&amp;"DPMB_SOCKET0__COMPUTE"&amp;C53&amp;"__CPU__CORE"&amp;Check!D53&amp;"__ML2_CR_MC3_STATUS"&amp;$B$1,core_mc[VisualId]&amp;core_mc[PPVRun_MC]&amp;core_mc[Lot]&amp;core_mc[TestNameWithoutNumeric],core_mc[TestValue],"")</f>
        <v/>
      </c>
      <c r="F53" s="4">
        <v>49</v>
      </c>
      <c r="G53" s="4" t="str" cm="1">
        <f t="array" ref="G53">_xlfn.XLOOKUP(A53&amp;B53&amp;$E$1&amp;"DPMB_SOCKET0__COMPUTE"&amp;C53&amp;"__UNCORE__CHA__CHA"&amp;Check!F53&amp;"__UTIL__MC_STATUS"&amp;$B$1,cha_mc[VisualId]&amp;cha_mc[PPVRun_MC]&amp;cha_mc[Lot]&amp;cha_mc[TestNameWithoutNumeric],cha_mc[TestValue],"")</f>
        <v/>
      </c>
      <c r="H53" s="4" t="str">
        <f t="shared" si="2"/>
        <v/>
      </c>
      <c r="J53" s="36">
        <v>5</v>
      </c>
      <c r="K53" s="47" t="s">
        <v>157</v>
      </c>
      <c r="L53" s="48"/>
      <c r="M53" s="52">
        <f>M36+60</f>
        <v>126</v>
      </c>
      <c r="N53" s="5" t="str">
        <f>"CORE"&amp;M53</f>
        <v>CORE126</v>
      </c>
      <c r="O53" s="52">
        <f>O36+60</f>
        <v>133</v>
      </c>
      <c r="P53" s="5" t="str">
        <f>"CORE"&amp;O53</f>
        <v>CORE133</v>
      </c>
      <c r="Q53" s="52">
        <f>Q36+60</f>
        <v>140</v>
      </c>
      <c r="R53" s="5" t="str">
        <f>"CORE"&amp;Q53</f>
        <v>CORE140</v>
      </c>
      <c r="S53" s="52">
        <f>S36+60</f>
        <v>147</v>
      </c>
      <c r="T53" s="5" t="str">
        <f>"CORE"&amp;S53</f>
        <v>CORE147</v>
      </c>
      <c r="U53" s="52">
        <f>U36+60</f>
        <v>154</v>
      </c>
      <c r="V53" s="5" t="str">
        <f>"CORE"&amp;U53</f>
        <v>CORE154</v>
      </c>
      <c r="W53" s="52">
        <f>W36+60</f>
        <v>161</v>
      </c>
      <c r="X53" s="5" t="str">
        <f>"CORE"&amp;W53</f>
        <v>CORE161</v>
      </c>
      <c r="Y53" s="52">
        <f>Y36+60</f>
        <v>168</v>
      </c>
      <c r="Z53" s="5" t="str">
        <f>"CORE"&amp;Y53</f>
        <v>CORE168</v>
      </c>
      <c r="AA53" s="52">
        <f>AA36+60</f>
        <v>175</v>
      </c>
      <c r="AB53" s="5" t="str">
        <f>"CORE"&amp;AA53</f>
        <v>CORE175</v>
      </c>
      <c r="AC53" s="47" t="s">
        <v>158</v>
      </c>
      <c r="AD53" s="48"/>
      <c r="AE53" s="36">
        <v>5</v>
      </c>
      <c r="AK53" s="4" t="str">
        <f t="shared" si="3"/>
        <v/>
      </c>
      <c r="AL53" s="4"/>
      <c r="AM53" s="4" t="str">
        <f t="shared" si="4"/>
        <v/>
      </c>
      <c r="AN53" s="4" t="str">
        <f>IFERROR(_xlfn.XLOOKUP(HEX2DEC(MID(AM53,LEN(AM53)-7,4)),mscod[MSCOD_BY_VAL],mscod[Description],""),"")</f>
        <v/>
      </c>
      <c r="AO53" s="4" t="str" cm="1">
        <f t="array" ref="AO53">_xlfn.XLOOKUP($K$1&amp;$Q$1&amp;"DPMB_SOCKET0__COMPUTE"&amp;AK53&amp;"__UNCORE__CHA__CHA"&amp;AL53&amp;"__UTIL__MC_ADDR"&amp;$B$1,cha_mc[VisualId]&amp;cha_mc[UnitTestingSeqKey]&amp;cha_mc[TestName],cha_mc[TestValue],"")</f>
        <v/>
      </c>
      <c r="AP53" s="4" t="str" cm="1">
        <f t="array" ref="AP53">_xlfn.XLOOKUP($K$1&amp;$Q$1&amp;"DPMB_SOCKET0__COMPUTE"&amp;AK53&amp;"__UNCORE__CHA__CHA"&amp;AL53&amp;"__UTIL__MC_MISC"&amp;$B$1,cha_mc[VisualId]&amp;cha_mc[UnitTestingSeqKey]&amp;cha_mc[TestName],cha_mc[TestValue],"")</f>
        <v/>
      </c>
      <c r="AQ53" s="30"/>
      <c r="AR53" s="30"/>
      <c r="AS53" s="30"/>
      <c r="AT53" s="30"/>
      <c r="AU53" s="30"/>
      <c r="AV53" s="4" t="str" cm="1">
        <f t="array" ref="AV53">_xlfn.XLOOKUP($K$1&amp;$Q$1&amp;"DPMB_SOCKET0__COMPUTE"&amp;AK53&amp;"__UNCORE__CHA__CHA"&amp;AL53&amp;"__UTIL__MC_MISC3"&amp;$B$1,cha_mc[VisualId]&amp;cha_mc[UnitTestingSeqKey]&amp;cha_mc[TestName],cha_mc[TestValue],"")</f>
        <v/>
      </c>
      <c r="AW53" s="30"/>
      <c r="AX53" s="30"/>
      <c r="AY53" s="30"/>
      <c r="AZ53" s="30"/>
      <c r="BA53" s="30"/>
    </row>
    <row r="54" spans="1:53" x14ac:dyDescent="0.3">
      <c r="A54" s="4" t="str">
        <f t="shared" si="5"/>
        <v>74X97M1000031</v>
      </c>
      <c r="B54" s="4" t="str">
        <f t="shared" si="1"/>
        <v>1-1</v>
      </c>
      <c r="C54" s="4">
        <v>0</v>
      </c>
      <c r="D54" s="4">
        <v>50</v>
      </c>
      <c r="E54" s="4" t="str" cm="1">
        <f t="array" ref="E54">_xlfn.XLOOKUP(A54&amp;B54&amp;$E$1&amp;"DPMB_SOCKET0__COMPUTE"&amp;C54&amp;"__CPU__CORE"&amp;Check!D54&amp;"__ML2_CR_MC3_STATUS"&amp;$B$1,core_mc[VisualId]&amp;core_mc[PPVRun_MC]&amp;core_mc[Lot]&amp;core_mc[TestNameWithoutNumeric],core_mc[TestValue],"")</f>
        <v/>
      </c>
      <c r="F54" s="4">
        <v>50</v>
      </c>
      <c r="G54" s="4" t="str" cm="1">
        <f t="array" ref="G54">_xlfn.XLOOKUP(A54&amp;B54&amp;$E$1&amp;"DPMB_SOCKET0__COMPUTE"&amp;C54&amp;"__UNCORE__CHA__CHA"&amp;Check!F54&amp;"__UTIL__MC_STATUS"&amp;$B$1,cha_mc[VisualId]&amp;cha_mc[PPVRun_MC]&amp;cha_mc[Lot]&amp;cha_mc[TestNameWithoutNumeric],cha_mc[TestValue],"")</f>
        <v/>
      </c>
      <c r="H54" s="4" t="str">
        <f t="shared" si="2"/>
        <v/>
      </c>
      <c r="J54" s="51"/>
      <c r="K54" s="49"/>
      <c r="L54" s="50"/>
      <c r="M54" s="51"/>
      <c r="N54" s="5" t="str">
        <f>"CHA"&amp;M53</f>
        <v>CHA126</v>
      </c>
      <c r="O54" s="51"/>
      <c r="P54" s="5" t="str">
        <f>"CHA"&amp;O53</f>
        <v>CHA133</v>
      </c>
      <c r="Q54" s="51"/>
      <c r="R54" s="5" t="str">
        <f>"CHA"&amp;Q53</f>
        <v>CHA140</v>
      </c>
      <c r="S54" s="51"/>
      <c r="T54" s="5" t="str">
        <f>"CHA"&amp;S53</f>
        <v>CHA147</v>
      </c>
      <c r="U54" s="51"/>
      <c r="V54" s="5" t="str">
        <f>"CHA"&amp;U53</f>
        <v>CHA154</v>
      </c>
      <c r="W54" s="51"/>
      <c r="X54" s="5" t="str">
        <f>"CHA"&amp;W53</f>
        <v>CHA161</v>
      </c>
      <c r="Y54" s="51"/>
      <c r="Z54" s="5" t="str">
        <f>"CHA"&amp;Y53</f>
        <v>CHA168</v>
      </c>
      <c r="AA54" s="51"/>
      <c r="AB54" s="5" t="str">
        <f>"CHA"&amp;AA53</f>
        <v>CHA175</v>
      </c>
      <c r="AC54" s="49"/>
      <c r="AD54" s="50"/>
      <c r="AE54" s="51"/>
      <c r="AK54" s="4" t="str">
        <f t="shared" si="3"/>
        <v/>
      </c>
      <c r="AL54" s="4"/>
      <c r="AM54" s="4" t="str">
        <f t="shared" si="4"/>
        <v/>
      </c>
      <c r="AN54" s="4" t="str">
        <f>IFERROR(_xlfn.XLOOKUP(HEX2DEC(MID(AM54,LEN(AM54)-7,4)),mscod[MSCOD_BY_VAL],mscod[Description],""),"")</f>
        <v/>
      </c>
      <c r="AO54" s="4" t="str" cm="1">
        <f t="array" ref="AO54">_xlfn.XLOOKUP($K$1&amp;$Q$1&amp;"DPMB_SOCKET0__COMPUTE"&amp;AK54&amp;"__UNCORE__CHA__CHA"&amp;AL54&amp;"__UTIL__MC_ADDR"&amp;$B$1,cha_mc[VisualId]&amp;cha_mc[UnitTestingSeqKey]&amp;cha_mc[TestName],cha_mc[TestValue],"")</f>
        <v/>
      </c>
      <c r="AP54" s="4" t="str" cm="1">
        <f t="array" ref="AP54">_xlfn.XLOOKUP($K$1&amp;$Q$1&amp;"DPMB_SOCKET0__COMPUTE"&amp;AK54&amp;"__UNCORE__CHA__CHA"&amp;AL54&amp;"__UTIL__MC_MISC"&amp;$B$1,cha_mc[VisualId]&amp;cha_mc[UnitTestingSeqKey]&amp;cha_mc[TestName],cha_mc[TestValue],"")</f>
        <v/>
      </c>
      <c r="AQ54" s="30"/>
      <c r="AR54" s="30"/>
      <c r="AS54" s="30"/>
      <c r="AT54" s="30"/>
      <c r="AU54" s="30"/>
      <c r="AV54" s="4" t="str" cm="1">
        <f t="array" ref="AV54">_xlfn.XLOOKUP($K$1&amp;$Q$1&amp;"DPMB_SOCKET0__COMPUTE"&amp;AK54&amp;"__UNCORE__CHA__CHA"&amp;AL54&amp;"__UTIL__MC_MISC3"&amp;$B$1,cha_mc[VisualId]&amp;cha_mc[UnitTestingSeqKey]&amp;cha_mc[TestName],cha_mc[TestValue],"")</f>
        <v/>
      </c>
      <c r="AW54" s="30"/>
      <c r="AX54" s="30"/>
      <c r="AY54" s="30"/>
      <c r="AZ54" s="30"/>
      <c r="BA54" s="30"/>
    </row>
    <row r="55" spans="1:53" x14ac:dyDescent="0.3">
      <c r="A55" s="4" t="str">
        <f t="shared" si="5"/>
        <v>74X97M1000031</v>
      </c>
      <c r="B55" s="4" t="str">
        <f t="shared" si="1"/>
        <v>1-1</v>
      </c>
      <c r="C55" s="4">
        <v>0</v>
      </c>
      <c r="D55" s="4">
        <v>51</v>
      </c>
      <c r="E55" s="4" t="str" cm="1">
        <f t="array" ref="E55">_xlfn.XLOOKUP(A55&amp;B55&amp;$E$1&amp;"DPMB_SOCKET0__COMPUTE"&amp;C55&amp;"__CPU__CORE"&amp;Check!D55&amp;"__ML2_CR_MC3_STATUS"&amp;$B$1,core_mc[VisualId]&amp;core_mc[PPVRun_MC]&amp;core_mc[Lot]&amp;core_mc[TestNameWithoutNumeric],core_mc[TestValue],"")</f>
        <v/>
      </c>
      <c r="F55" s="4">
        <v>51</v>
      </c>
      <c r="G55" s="4" t="str" cm="1">
        <f t="array" ref="G55">_xlfn.XLOOKUP(A55&amp;B55&amp;$E$1&amp;"DPMB_SOCKET0__COMPUTE"&amp;C55&amp;"__UNCORE__CHA__CHA"&amp;Check!F55&amp;"__UTIL__MC_STATUS"&amp;$B$1,cha_mc[VisualId]&amp;cha_mc[PPVRun_MC]&amp;cha_mc[Lot]&amp;cha_mc[TestNameWithoutNumeric],cha_mc[TestValue],"")</f>
        <v/>
      </c>
      <c r="H55" s="4" t="str">
        <f t="shared" si="2"/>
        <v/>
      </c>
      <c r="J55" s="36">
        <v>6</v>
      </c>
      <c r="K55" s="47" t="s">
        <v>159</v>
      </c>
      <c r="L55" s="48"/>
      <c r="M55" s="52">
        <f>M38+60</f>
        <v>127</v>
      </c>
      <c r="N55" s="5" t="str">
        <f>"CORE"&amp;M55</f>
        <v>CORE127</v>
      </c>
      <c r="O55" s="52">
        <f>O38+60</f>
        <v>134</v>
      </c>
      <c r="P55" s="5" t="str">
        <f>"CORE"&amp;O55</f>
        <v>CORE134</v>
      </c>
      <c r="Q55" s="52">
        <f>Q38+60</f>
        <v>141</v>
      </c>
      <c r="R55" s="5" t="str">
        <f>"CORE"&amp;Q55</f>
        <v>CORE141</v>
      </c>
      <c r="S55" s="52">
        <f>S38+60</f>
        <v>148</v>
      </c>
      <c r="T55" s="5" t="str">
        <f>"CORE"&amp;S55</f>
        <v>CORE148</v>
      </c>
      <c r="U55" s="52">
        <f>U38+60</f>
        <v>155</v>
      </c>
      <c r="V55" s="5" t="str">
        <f>"CORE"&amp;U55</f>
        <v>CORE155</v>
      </c>
      <c r="W55" s="52">
        <f>W38+60</f>
        <v>162</v>
      </c>
      <c r="X55" s="5" t="str">
        <f>"CORE"&amp;W55</f>
        <v>CORE162</v>
      </c>
      <c r="Y55" s="52">
        <f>Y38+60</f>
        <v>169</v>
      </c>
      <c r="Z55" s="5" t="str">
        <f>"CORE"&amp;Y55</f>
        <v>CORE169</v>
      </c>
      <c r="AA55" s="52">
        <f>AA38+60</f>
        <v>176</v>
      </c>
      <c r="AB55" s="5" t="str">
        <f>"CORE"&amp;AA55</f>
        <v>CORE176</v>
      </c>
      <c r="AC55" s="47" t="s">
        <v>160</v>
      </c>
      <c r="AD55" s="48"/>
      <c r="AE55" s="36">
        <v>6</v>
      </c>
      <c r="AK55" s="4" t="str">
        <f t="shared" si="3"/>
        <v/>
      </c>
      <c r="AL55" s="4"/>
      <c r="AM55" s="4" t="str">
        <f t="shared" si="4"/>
        <v/>
      </c>
      <c r="AN55" s="4" t="str">
        <f>IFERROR(_xlfn.XLOOKUP(HEX2DEC(MID(AM55,LEN(AM55)-7,4)),mscod[MSCOD_BY_VAL],mscod[Description],""),"")</f>
        <v/>
      </c>
      <c r="AO55" s="4" t="str" cm="1">
        <f t="array" ref="AO55">_xlfn.XLOOKUP($K$1&amp;$Q$1&amp;"DPMB_SOCKET0__COMPUTE"&amp;AK55&amp;"__UNCORE__CHA__CHA"&amp;AL55&amp;"__UTIL__MC_ADDR"&amp;$B$1,cha_mc[VisualId]&amp;cha_mc[UnitTestingSeqKey]&amp;cha_mc[TestName],cha_mc[TestValue],"")</f>
        <v/>
      </c>
      <c r="AP55" s="4" t="str" cm="1">
        <f t="array" ref="AP55">_xlfn.XLOOKUP($K$1&amp;$Q$1&amp;"DPMB_SOCKET0__COMPUTE"&amp;AK55&amp;"__UNCORE__CHA__CHA"&amp;AL55&amp;"__UTIL__MC_MISC"&amp;$B$1,cha_mc[VisualId]&amp;cha_mc[UnitTestingSeqKey]&amp;cha_mc[TestName],cha_mc[TestValue],"")</f>
        <v/>
      </c>
      <c r="AQ55" s="30"/>
      <c r="AR55" s="30"/>
      <c r="AS55" s="30"/>
      <c r="AT55" s="30"/>
      <c r="AU55" s="30"/>
      <c r="AV55" s="4" t="str" cm="1">
        <f t="array" ref="AV55">_xlfn.XLOOKUP($K$1&amp;$Q$1&amp;"DPMB_SOCKET0__COMPUTE"&amp;AK55&amp;"__UNCORE__CHA__CHA"&amp;AL55&amp;"__UTIL__MC_MISC3"&amp;$B$1,cha_mc[VisualId]&amp;cha_mc[UnitTestingSeqKey]&amp;cha_mc[TestName],cha_mc[TestValue],"")</f>
        <v/>
      </c>
      <c r="AW55" s="30"/>
      <c r="AX55" s="30"/>
      <c r="AY55" s="30"/>
      <c r="AZ55" s="30"/>
      <c r="BA55" s="30"/>
    </row>
    <row r="56" spans="1:53" x14ac:dyDescent="0.3">
      <c r="A56" s="4" t="str">
        <f t="shared" si="5"/>
        <v>74X97M1000031</v>
      </c>
      <c r="B56" s="4" t="str">
        <f t="shared" si="1"/>
        <v>1-1</v>
      </c>
      <c r="C56" s="4">
        <v>0</v>
      </c>
      <c r="D56" s="4">
        <v>52</v>
      </c>
      <c r="E56" s="4" t="str" cm="1">
        <f t="array" ref="E56">_xlfn.XLOOKUP(A56&amp;B56&amp;$E$1&amp;"DPMB_SOCKET0__COMPUTE"&amp;C56&amp;"__CPU__CORE"&amp;Check!D56&amp;"__ML2_CR_MC3_STATUS"&amp;$B$1,core_mc[VisualId]&amp;core_mc[PPVRun_MC]&amp;core_mc[Lot]&amp;core_mc[TestNameWithoutNumeric],core_mc[TestValue],"")</f>
        <v/>
      </c>
      <c r="F56" s="4">
        <v>52</v>
      </c>
      <c r="G56" s="4" t="str" cm="1">
        <f t="array" ref="G56">_xlfn.XLOOKUP(A56&amp;B56&amp;$E$1&amp;"DPMB_SOCKET0__COMPUTE"&amp;C56&amp;"__UNCORE__CHA__CHA"&amp;Check!F56&amp;"__UTIL__MC_STATUS"&amp;$B$1,cha_mc[VisualId]&amp;cha_mc[PPVRun_MC]&amp;cha_mc[Lot]&amp;cha_mc[TestNameWithoutNumeric],cha_mc[TestValue],"")</f>
        <v/>
      </c>
      <c r="H56" s="4" t="str">
        <f t="shared" si="2"/>
        <v/>
      </c>
      <c r="J56" s="51"/>
      <c r="K56" s="49"/>
      <c r="L56" s="50"/>
      <c r="M56" s="51"/>
      <c r="N56" s="5" t="str">
        <f>"CHA"&amp;M55</f>
        <v>CHA127</v>
      </c>
      <c r="O56" s="51"/>
      <c r="P56" s="5" t="str">
        <f>"CHA"&amp;O55</f>
        <v>CHA134</v>
      </c>
      <c r="Q56" s="51"/>
      <c r="R56" s="5" t="str">
        <f>"CHA"&amp;Q55</f>
        <v>CHA141</v>
      </c>
      <c r="S56" s="51"/>
      <c r="T56" s="5" t="str">
        <f>"CHA"&amp;S55</f>
        <v>CHA148</v>
      </c>
      <c r="U56" s="51"/>
      <c r="V56" s="5" t="str">
        <f>"CHA"&amp;U55</f>
        <v>CHA155</v>
      </c>
      <c r="W56" s="51"/>
      <c r="X56" s="5" t="str">
        <f>"CHA"&amp;W55</f>
        <v>CHA162</v>
      </c>
      <c r="Y56" s="51"/>
      <c r="Z56" s="5" t="str">
        <f>"CHA"&amp;Y55</f>
        <v>CHA169</v>
      </c>
      <c r="AA56" s="51"/>
      <c r="AB56" s="5" t="str">
        <f>"CHA"&amp;AA55</f>
        <v>CHA176</v>
      </c>
      <c r="AC56" s="49"/>
      <c r="AD56" s="50"/>
      <c r="AE56" s="51"/>
      <c r="AK56" s="4" t="str">
        <f t="shared" si="3"/>
        <v/>
      </c>
      <c r="AL56" s="4"/>
      <c r="AM56" s="4" t="str">
        <f t="shared" si="4"/>
        <v/>
      </c>
      <c r="AN56" s="4" t="str">
        <f>IFERROR(_xlfn.XLOOKUP(HEX2DEC(MID(AM56,LEN(AM56)-7,4)),mscod[MSCOD_BY_VAL],mscod[Description],""),"")</f>
        <v/>
      </c>
      <c r="AO56" s="4" t="str" cm="1">
        <f t="array" ref="AO56">_xlfn.XLOOKUP($K$1&amp;$Q$1&amp;"DPMB_SOCKET0__COMPUTE"&amp;AK56&amp;"__UNCORE__CHA__CHA"&amp;AL56&amp;"__UTIL__MC_ADDR"&amp;$B$1,cha_mc[VisualId]&amp;cha_mc[UnitTestingSeqKey]&amp;cha_mc[TestName],cha_mc[TestValue],"")</f>
        <v/>
      </c>
      <c r="AP56" s="4" t="str" cm="1">
        <f t="array" ref="AP56">_xlfn.XLOOKUP($K$1&amp;$Q$1&amp;"DPMB_SOCKET0__COMPUTE"&amp;AK56&amp;"__UNCORE__CHA__CHA"&amp;AL56&amp;"__UTIL__MC_MISC"&amp;$B$1,cha_mc[VisualId]&amp;cha_mc[UnitTestingSeqKey]&amp;cha_mc[TestName],cha_mc[TestValue],"")</f>
        <v/>
      </c>
      <c r="AQ56" s="30"/>
      <c r="AR56" s="30"/>
      <c r="AS56" s="30"/>
      <c r="AT56" s="30"/>
      <c r="AU56" s="30"/>
      <c r="AV56" s="4" t="str" cm="1">
        <f t="array" ref="AV56">_xlfn.XLOOKUP($K$1&amp;$Q$1&amp;"DPMB_SOCKET0__COMPUTE"&amp;AK56&amp;"__UNCORE__CHA__CHA"&amp;AL56&amp;"__UTIL__MC_MISC3"&amp;$B$1,cha_mc[VisualId]&amp;cha_mc[UnitTestingSeqKey]&amp;cha_mc[TestName],cha_mc[TestValue],"")</f>
        <v/>
      </c>
      <c r="AW56" s="30"/>
      <c r="AX56" s="30"/>
      <c r="AY56" s="30"/>
      <c r="AZ56" s="30"/>
      <c r="BA56" s="30"/>
    </row>
    <row r="57" spans="1:53" x14ac:dyDescent="0.3">
      <c r="A57" s="4" t="str">
        <f t="shared" si="5"/>
        <v>74X97M1000031</v>
      </c>
      <c r="B57" s="4" t="str">
        <f t="shared" si="1"/>
        <v>1-1</v>
      </c>
      <c r="C57" s="4">
        <v>0</v>
      </c>
      <c r="D57" s="4">
        <v>53</v>
      </c>
      <c r="E57" s="4" t="str" cm="1">
        <f t="array" ref="E57">_xlfn.XLOOKUP(A57&amp;B57&amp;$E$1&amp;"DPMB_SOCKET0__COMPUTE"&amp;C57&amp;"__CPU__CORE"&amp;Check!D57&amp;"__ML2_CR_MC3_STATUS"&amp;$B$1,core_mc[VisualId]&amp;core_mc[PPVRun_MC]&amp;core_mc[Lot]&amp;core_mc[TestNameWithoutNumeric],core_mc[TestValue],"")</f>
        <v/>
      </c>
      <c r="F57" s="4">
        <v>53</v>
      </c>
      <c r="G57" s="4" t="str" cm="1">
        <f t="array" ref="G57">_xlfn.XLOOKUP(A57&amp;B57&amp;$E$1&amp;"DPMB_SOCKET0__COMPUTE"&amp;C57&amp;"__UNCORE__CHA__CHA"&amp;Check!F57&amp;"__UTIL__MC_STATUS"&amp;$B$1,cha_mc[VisualId]&amp;cha_mc[PPVRun_MC]&amp;cha_mc[Lot]&amp;cha_mc[TestNameWithoutNumeric],cha_mc[TestValue],"")</f>
        <v/>
      </c>
      <c r="H57" s="4" t="str">
        <f t="shared" si="2"/>
        <v/>
      </c>
      <c r="J57" s="36">
        <v>7</v>
      </c>
      <c r="K57" s="47" t="s">
        <v>161</v>
      </c>
      <c r="L57" s="48"/>
      <c r="M57" s="52">
        <f>M40+60</f>
        <v>128</v>
      </c>
      <c r="N57" s="5" t="str">
        <f>"CORE"&amp;M57</f>
        <v>CORE128</v>
      </c>
      <c r="O57" s="52">
        <f>O40+60</f>
        <v>135</v>
      </c>
      <c r="P57" s="5" t="str">
        <f>"CORE"&amp;O57</f>
        <v>CORE135</v>
      </c>
      <c r="Q57" s="52">
        <f>Q40+60</f>
        <v>142</v>
      </c>
      <c r="R57" s="5" t="str">
        <f>"CORE"&amp;Q57</f>
        <v>CORE142</v>
      </c>
      <c r="S57" s="52">
        <v>149</v>
      </c>
      <c r="T57" s="5" t="str">
        <f>"CORE"&amp;S57</f>
        <v>CORE149</v>
      </c>
      <c r="U57" s="52">
        <f>U40+60</f>
        <v>156</v>
      </c>
      <c r="V57" s="5" t="str">
        <f>"CORE"&amp;U57</f>
        <v>CORE156</v>
      </c>
      <c r="W57" s="52">
        <f>W40+60</f>
        <v>163</v>
      </c>
      <c r="X57" s="5" t="str">
        <f>"CORE"&amp;W57</f>
        <v>CORE163</v>
      </c>
      <c r="Y57" s="52">
        <f>Y40+60</f>
        <v>170</v>
      </c>
      <c r="Z57" s="5" t="str">
        <f>"CORE"&amp;Y57</f>
        <v>CORE170</v>
      </c>
      <c r="AA57" s="52">
        <f>AA40+60</f>
        <v>177</v>
      </c>
      <c r="AB57" s="5" t="str">
        <f>"CORE"&amp;AA57</f>
        <v>CORE177</v>
      </c>
      <c r="AC57" s="47" t="s">
        <v>161</v>
      </c>
      <c r="AD57" s="48"/>
      <c r="AE57" s="36">
        <v>7</v>
      </c>
      <c r="AK57" s="4" t="str">
        <f t="shared" si="3"/>
        <v/>
      </c>
      <c r="AL57" s="4"/>
      <c r="AM57" s="4" t="str">
        <f t="shared" si="4"/>
        <v/>
      </c>
      <c r="AN57" s="4" t="str">
        <f>IFERROR(_xlfn.XLOOKUP(HEX2DEC(MID(AM57,LEN(AM57)-7,4)),mscod[MSCOD_BY_VAL],mscod[Description],""),"")</f>
        <v/>
      </c>
      <c r="AO57" s="4" t="str" cm="1">
        <f t="array" ref="AO57">_xlfn.XLOOKUP($K$1&amp;$Q$1&amp;"DPMB_SOCKET0__COMPUTE"&amp;AK57&amp;"__UNCORE__CHA__CHA"&amp;AL57&amp;"__UTIL__MC_ADDR"&amp;$B$1,cha_mc[VisualId]&amp;cha_mc[UnitTestingSeqKey]&amp;cha_mc[TestName],cha_mc[TestValue],"")</f>
        <v/>
      </c>
      <c r="AP57" s="4" t="str" cm="1">
        <f t="array" ref="AP57">_xlfn.XLOOKUP($K$1&amp;$Q$1&amp;"DPMB_SOCKET0__COMPUTE"&amp;AK57&amp;"__UNCORE__CHA__CHA"&amp;AL57&amp;"__UTIL__MC_MISC"&amp;$B$1,cha_mc[VisualId]&amp;cha_mc[UnitTestingSeqKey]&amp;cha_mc[TestName],cha_mc[TestValue],"")</f>
        <v/>
      </c>
      <c r="AQ57" s="30"/>
      <c r="AR57" s="30"/>
      <c r="AS57" s="30"/>
      <c r="AT57" s="30"/>
      <c r="AU57" s="30"/>
      <c r="AV57" s="4" t="str" cm="1">
        <f t="array" ref="AV57">_xlfn.XLOOKUP($K$1&amp;$Q$1&amp;"DPMB_SOCKET0__COMPUTE"&amp;AK57&amp;"__UNCORE__CHA__CHA"&amp;AL57&amp;"__UTIL__MC_MISC3"&amp;$B$1,cha_mc[VisualId]&amp;cha_mc[UnitTestingSeqKey]&amp;cha_mc[TestName],cha_mc[TestValue],"")</f>
        <v/>
      </c>
      <c r="AW57" s="30"/>
      <c r="AX57" s="30"/>
      <c r="AY57" s="30"/>
      <c r="AZ57" s="30"/>
      <c r="BA57" s="30"/>
    </row>
    <row r="58" spans="1:53" x14ac:dyDescent="0.3">
      <c r="A58" s="4" t="str">
        <f t="shared" si="5"/>
        <v>74X97M1000031</v>
      </c>
      <c r="B58" s="4" t="str">
        <f t="shared" si="1"/>
        <v>1-1</v>
      </c>
      <c r="C58" s="4">
        <v>0</v>
      </c>
      <c r="D58" s="4">
        <v>54</v>
      </c>
      <c r="E58" s="4" t="str" cm="1">
        <f t="array" ref="E58">_xlfn.XLOOKUP(A58&amp;B58&amp;$E$1&amp;"DPMB_SOCKET0__COMPUTE"&amp;C58&amp;"__CPU__CORE"&amp;Check!D58&amp;"__ML2_CR_MC3_STATUS"&amp;$B$1,core_mc[VisualId]&amp;core_mc[PPVRun_MC]&amp;core_mc[Lot]&amp;core_mc[TestNameWithoutNumeric],core_mc[TestValue],"")</f>
        <v/>
      </c>
      <c r="F58" s="4">
        <v>54</v>
      </c>
      <c r="G58" s="4" t="str" cm="1">
        <f t="array" ref="G58">_xlfn.XLOOKUP(A58&amp;B58&amp;$E$1&amp;"DPMB_SOCKET0__COMPUTE"&amp;C58&amp;"__UNCORE__CHA__CHA"&amp;Check!F58&amp;"__UTIL__MC_STATUS"&amp;$B$1,cha_mc[VisualId]&amp;cha_mc[PPVRun_MC]&amp;cha_mc[Lot]&amp;cha_mc[TestNameWithoutNumeric],cha_mc[TestValue],"")</f>
        <v/>
      </c>
      <c r="H58" s="4" t="str">
        <f t="shared" si="2"/>
        <v/>
      </c>
      <c r="J58" s="51"/>
      <c r="K58" s="49"/>
      <c r="L58" s="50"/>
      <c r="M58" s="51"/>
      <c r="N58" s="5" t="str">
        <f>"CHA"&amp;M57</f>
        <v>CHA128</v>
      </c>
      <c r="O58" s="51"/>
      <c r="P58" s="5" t="str">
        <f>"CHA"&amp;O57</f>
        <v>CHA135</v>
      </c>
      <c r="Q58" s="51"/>
      <c r="R58" s="5" t="str">
        <f>"CHA"&amp;Q57</f>
        <v>CHA142</v>
      </c>
      <c r="S58" s="51"/>
      <c r="T58" s="5" t="str">
        <f>"CHA"&amp;S57</f>
        <v>CHA149</v>
      </c>
      <c r="U58" s="51"/>
      <c r="V58" s="5" t="str">
        <f>"CHA"&amp;U57</f>
        <v>CHA156</v>
      </c>
      <c r="W58" s="51"/>
      <c r="X58" s="5" t="str">
        <f>"CHA"&amp;W57</f>
        <v>CHA163</v>
      </c>
      <c r="Y58" s="51"/>
      <c r="Z58" s="5" t="str">
        <f>"CHA"&amp;Y57</f>
        <v>CHA170</v>
      </c>
      <c r="AA58" s="51"/>
      <c r="AB58" s="5" t="str">
        <f>"CHA"&amp;AA57</f>
        <v>CHA177</v>
      </c>
      <c r="AC58" s="49"/>
      <c r="AD58" s="50"/>
      <c r="AE58" s="51"/>
      <c r="AK58" s="4" t="str">
        <f t="shared" si="3"/>
        <v/>
      </c>
      <c r="AL58" s="4"/>
      <c r="AM58" s="4" t="str">
        <f t="shared" si="4"/>
        <v/>
      </c>
      <c r="AN58" s="4" t="str">
        <f>IFERROR(_xlfn.XLOOKUP(HEX2DEC(MID(AM58,LEN(AM58)-7,4)),mscod[MSCOD_BY_VAL],mscod[Description],""),"")</f>
        <v/>
      </c>
      <c r="AO58" s="4" t="str" cm="1">
        <f t="array" ref="AO58">_xlfn.XLOOKUP($K$1&amp;$Q$1&amp;"DPMB_SOCKET0__COMPUTE"&amp;AK58&amp;"__UNCORE__CHA__CHA"&amp;AL58&amp;"__UTIL__MC_ADDR"&amp;$B$1,cha_mc[VisualId]&amp;cha_mc[UnitTestingSeqKey]&amp;cha_mc[TestName],cha_mc[TestValue],"")</f>
        <v/>
      </c>
      <c r="AP58" s="4" t="str" cm="1">
        <f t="array" ref="AP58">_xlfn.XLOOKUP($K$1&amp;$Q$1&amp;"DPMB_SOCKET0__COMPUTE"&amp;AK58&amp;"__UNCORE__CHA__CHA"&amp;AL58&amp;"__UTIL__MC_MISC"&amp;$B$1,cha_mc[VisualId]&amp;cha_mc[UnitTestingSeqKey]&amp;cha_mc[TestName],cha_mc[TestValue],"")</f>
        <v/>
      </c>
      <c r="AQ58" s="30"/>
      <c r="AR58" s="30"/>
      <c r="AS58" s="30"/>
      <c r="AT58" s="30"/>
      <c r="AU58" s="30"/>
      <c r="AV58" s="4" t="str" cm="1">
        <f t="array" ref="AV58">_xlfn.XLOOKUP($K$1&amp;$Q$1&amp;"DPMB_SOCKET0__COMPUTE"&amp;AK58&amp;"__UNCORE__CHA__CHA"&amp;AL58&amp;"__UTIL__MC_MISC3"&amp;$B$1,cha_mc[VisualId]&amp;cha_mc[UnitTestingSeqKey]&amp;cha_mc[TestName],cha_mc[TestValue],"")</f>
        <v/>
      </c>
      <c r="AW58" s="30"/>
      <c r="AX58" s="30"/>
      <c r="AY58" s="30"/>
      <c r="AZ58" s="30"/>
      <c r="BA58" s="30"/>
    </row>
    <row r="59" spans="1:53" x14ac:dyDescent="0.3">
      <c r="A59" s="4" t="str">
        <f t="shared" si="5"/>
        <v>74X97M1000031</v>
      </c>
      <c r="B59" s="4" t="str">
        <f t="shared" si="1"/>
        <v>1-1</v>
      </c>
      <c r="C59" s="4">
        <v>0</v>
      </c>
      <c r="D59" s="4">
        <v>55</v>
      </c>
      <c r="E59" s="4" t="str" cm="1">
        <f t="array" ref="E59">_xlfn.XLOOKUP(A59&amp;B59&amp;$E$1&amp;"DPMB_SOCKET0__COMPUTE"&amp;C59&amp;"__CPU__CORE"&amp;Check!D59&amp;"__ML2_CR_MC3_STATUS"&amp;$B$1,core_mc[VisualId]&amp;core_mc[PPVRun_MC]&amp;core_mc[Lot]&amp;core_mc[TestNameWithoutNumeric],core_mc[TestValue],"")</f>
        <v/>
      </c>
      <c r="F59" s="4">
        <v>55</v>
      </c>
      <c r="G59" s="4" t="str" cm="1">
        <f t="array" ref="G59">_xlfn.XLOOKUP(A59&amp;B59&amp;$E$1&amp;"DPMB_SOCKET0__COMPUTE"&amp;C59&amp;"__UNCORE__CHA__CHA"&amp;Check!F59&amp;"__UTIL__MC_STATUS"&amp;$B$1,cha_mc[VisualId]&amp;cha_mc[PPVRun_MC]&amp;cha_mc[Lot]&amp;cha_mc[TestNameWithoutNumeric],cha_mc[TestValue],"")</f>
        <v/>
      </c>
      <c r="H59" s="4" t="str">
        <f t="shared" si="2"/>
        <v/>
      </c>
      <c r="J59" s="1" t="s">
        <v>163</v>
      </c>
      <c r="K59" s="44" t="s">
        <v>151</v>
      </c>
      <c r="L59" s="37"/>
      <c r="M59" s="44" t="s">
        <v>151</v>
      </c>
      <c r="N59" s="37"/>
      <c r="O59" s="44" t="s">
        <v>151</v>
      </c>
      <c r="P59" s="37"/>
      <c r="Q59" s="44" t="s">
        <v>151</v>
      </c>
      <c r="R59" s="37"/>
      <c r="S59" s="44" t="s">
        <v>151</v>
      </c>
      <c r="T59" s="37"/>
      <c r="U59" s="44" t="s">
        <v>151</v>
      </c>
      <c r="V59" s="37"/>
      <c r="W59" s="44" t="s">
        <v>151</v>
      </c>
      <c r="X59" s="37"/>
      <c r="Y59" s="44" t="s">
        <v>151</v>
      </c>
      <c r="Z59" s="37"/>
      <c r="AA59" s="44" t="s">
        <v>151</v>
      </c>
      <c r="AB59" s="37"/>
      <c r="AC59" s="44" t="s">
        <v>151</v>
      </c>
      <c r="AD59" s="37"/>
      <c r="AE59" s="1" t="s">
        <v>163</v>
      </c>
      <c r="AK59" s="4" t="str">
        <f t="shared" si="3"/>
        <v/>
      </c>
      <c r="AL59" s="4"/>
      <c r="AM59" s="4" t="str">
        <f t="shared" si="4"/>
        <v/>
      </c>
      <c r="AN59" s="4" t="str">
        <f>IFERROR(_xlfn.XLOOKUP(HEX2DEC(MID(AM59,LEN(AM59)-7,4)),mscod[MSCOD_BY_VAL],mscod[Description],""),"")</f>
        <v/>
      </c>
      <c r="AO59" s="4" t="str" cm="1">
        <f t="array" ref="AO59">_xlfn.XLOOKUP($K$1&amp;$Q$1&amp;"DPMB_SOCKET0__COMPUTE"&amp;AK59&amp;"__UNCORE__CHA__CHA"&amp;AL59&amp;"__UTIL__MC_ADDR"&amp;$B$1,cha_mc[VisualId]&amp;cha_mc[UnitTestingSeqKey]&amp;cha_mc[TestName],cha_mc[TestValue],"")</f>
        <v/>
      </c>
      <c r="AP59" s="4" t="str" cm="1">
        <f t="array" ref="AP59">_xlfn.XLOOKUP($K$1&amp;$Q$1&amp;"DPMB_SOCKET0__COMPUTE"&amp;AK59&amp;"__UNCORE__CHA__CHA"&amp;AL59&amp;"__UTIL__MC_MISC"&amp;$B$1,cha_mc[VisualId]&amp;cha_mc[UnitTestingSeqKey]&amp;cha_mc[TestName],cha_mc[TestValue],"")</f>
        <v/>
      </c>
      <c r="AQ59" s="30"/>
      <c r="AR59" s="30"/>
      <c r="AS59" s="30"/>
      <c r="AT59" s="30"/>
      <c r="AU59" s="30"/>
      <c r="AV59" s="4" t="str" cm="1">
        <f t="array" ref="AV59">_xlfn.XLOOKUP($K$1&amp;$Q$1&amp;"DPMB_SOCKET0__COMPUTE"&amp;AK59&amp;"__UNCORE__CHA__CHA"&amp;AL59&amp;"__UTIL__MC_MISC3"&amp;$B$1,cha_mc[VisualId]&amp;cha_mc[UnitTestingSeqKey]&amp;cha_mc[TestName],cha_mc[TestValue],"")</f>
        <v/>
      </c>
      <c r="AW59" s="30"/>
      <c r="AX59" s="30"/>
      <c r="AY59" s="30"/>
      <c r="AZ59" s="30"/>
      <c r="BA59" s="30"/>
    </row>
    <row r="60" spans="1:53" x14ac:dyDescent="0.3">
      <c r="A60" s="4" t="str">
        <f t="shared" si="5"/>
        <v>74X97M1000031</v>
      </c>
      <c r="B60" s="4" t="str">
        <f t="shared" si="1"/>
        <v>1-1</v>
      </c>
      <c r="C60" s="4">
        <v>0</v>
      </c>
      <c r="D60" s="4">
        <v>56</v>
      </c>
      <c r="E60" s="4" t="str" cm="1">
        <f t="array" ref="E60">_xlfn.XLOOKUP(A60&amp;B60&amp;$E$1&amp;"DPMB_SOCKET0__COMPUTE"&amp;C60&amp;"__CPU__CORE"&amp;Check!D60&amp;"__ML2_CR_MC3_STATUS"&amp;$B$1,core_mc[VisualId]&amp;core_mc[PPVRun_MC]&amp;core_mc[Lot]&amp;core_mc[TestNameWithoutNumeric],core_mc[TestValue],"")</f>
        <v/>
      </c>
      <c r="F60" s="4">
        <v>56</v>
      </c>
      <c r="G60" s="4" t="str" cm="1">
        <f t="array" ref="G60">_xlfn.XLOOKUP(A60&amp;B60&amp;$E$1&amp;"DPMB_SOCKET0__COMPUTE"&amp;C60&amp;"__UNCORE__CHA__CHA"&amp;Check!F60&amp;"__UTIL__MC_STATUS"&amp;$B$1,cha_mc[VisualId]&amp;cha_mc[PPVRun_MC]&amp;cha_mc[Lot]&amp;cha_mc[TestNameWithoutNumeric],cha_mc[TestValue],"")</f>
        <v/>
      </c>
      <c r="H60" s="4" t="str">
        <f t="shared" si="2"/>
        <v/>
      </c>
      <c r="J60" s="45"/>
      <c r="K60" s="46"/>
      <c r="L60" s="46"/>
      <c r="M60" s="46"/>
      <c r="N60" s="46"/>
      <c r="O60" s="46"/>
      <c r="P60" s="46"/>
      <c r="Q60" s="46"/>
      <c r="R60" s="46"/>
      <c r="S60" s="46"/>
      <c r="T60" s="46"/>
      <c r="U60" s="46"/>
      <c r="V60" s="46"/>
      <c r="W60" s="46"/>
      <c r="X60" s="46"/>
      <c r="Y60" s="46"/>
      <c r="Z60" s="46"/>
      <c r="AA60" s="46"/>
      <c r="AB60" s="46"/>
      <c r="AC60" s="46"/>
      <c r="AD60" s="46"/>
      <c r="AE60" s="37"/>
      <c r="AK60" s="4" t="str">
        <f t="shared" si="3"/>
        <v/>
      </c>
      <c r="AL60" s="4"/>
      <c r="AM60" s="4" t="str">
        <f t="shared" si="4"/>
        <v/>
      </c>
      <c r="AN60" s="4" t="str">
        <f>IFERROR(_xlfn.XLOOKUP(HEX2DEC(MID(AM60,LEN(AM60)-7,4)),mscod[MSCOD_BY_VAL],mscod[Description],""),"")</f>
        <v/>
      </c>
      <c r="AO60" s="4" t="str" cm="1">
        <f t="array" ref="AO60">_xlfn.XLOOKUP($K$1&amp;$Q$1&amp;"DPMB_SOCKET0__COMPUTE"&amp;AK60&amp;"__UNCORE__CHA__CHA"&amp;AL60&amp;"__UTIL__MC_ADDR"&amp;$B$1,cha_mc[VisualId]&amp;cha_mc[UnitTestingSeqKey]&amp;cha_mc[TestName],cha_mc[TestValue],"")</f>
        <v/>
      </c>
      <c r="AP60" s="4" t="str" cm="1">
        <f t="array" ref="AP60">_xlfn.XLOOKUP($K$1&amp;$Q$1&amp;"DPMB_SOCKET0__COMPUTE"&amp;AK60&amp;"__UNCORE__CHA__CHA"&amp;AL60&amp;"__UTIL__MC_MISC"&amp;$B$1,cha_mc[VisualId]&amp;cha_mc[UnitTestingSeqKey]&amp;cha_mc[TestName],cha_mc[TestValue],"")</f>
        <v/>
      </c>
      <c r="AQ60" s="30"/>
      <c r="AR60" s="30"/>
      <c r="AS60" s="30"/>
      <c r="AT60" s="30"/>
      <c r="AU60" s="30"/>
      <c r="AV60" s="4" t="str" cm="1">
        <f t="array" ref="AV60">_xlfn.XLOOKUP($K$1&amp;$Q$1&amp;"DPMB_SOCKET0__COMPUTE"&amp;AK60&amp;"__UNCORE__CHA__CHA"&amp;AL60&amp;"__UTIL__MC_MISC3"&amp;$B$1,cha_mc[VisualId]&amp;cha_mc[UnitTestingSeqKey]&amp;cha_mc[TestName],cha_mc[TestValue],"")</f>
        <v/>
      </c>
      <c r="AW60" s="30"/>
      <c r="AX60" s="30"/>
      <c r="AY60" s="30"/>
      <c r="AZ60" s="30"/>
      <c r="BA60" s="30"/>
    </row>
    <row r="61" spans="1:53" x14ac:dyDescent="0.3">
      <c r="A61" s="4" t="str">
        <f t="shared" si="5"/>
        <v>74X97M1000031</v>
      </c>
      <c r="B61" s="4" t="str">
        <f t="shared" si="1"/>
        <v>1-1</v>
      </c>
      <c r="C61" s="4">
        <v>0</v>
      </c>
      <c r="D61" s="4">
        <v>57</v>
      </c>
      <c r="E61" s="4" t="str" cm="1">
        <f t="array" ref="E61">_xlfn.XLOOKUP(A61&amp;B61&amp;$E$1&amp;"DPMB_SOCKET0__COMPUTE"&amp;C61&amp;"__CPU__CORE"&amp;Check!D61&amp;"__ML2_CR_MC3_STATUS"&amp;$B$1,core_mc[VisualId]&amp;core_mc[PPVRun_MC]&amp;core_mc[Lot]&amp;core_mc[TestNameWithoutNumeric],core_mc[TestValue],"")</f>
        <v/>
      </c>
      <c r="F61" s="4">
        <v>57</v>
      </c>
      <c r="G61" s="4" t="str" cm="1">
        <f t="array" ref="G61">_xlfn.XLOOKUP(A61&amp;B61&amp;$E$1&amp;"DPMB_SOCKET0__COMPUTE"&amp;C61&amp;"__UNCORE__CHA__CHA"&amp;Check!F61&amp;"__UTIL__MC_STATUS"&amp;$B$1,cha_mc[VisualId]&amp;cha_mc[PPVRun_MC]&amp;cha_mc[Lot]&amp;cha_mc[TestNameWithoutNumeric],cha_mc[TestValue],"")</f>
        <v/>
      </c>
      <c r="H61" s="4" t="str">
        <f t="shared" si="2"/>
        <v/>
      </c>
      <c r="J61" s="1" t="s">
        <v>164</v>
      </c>
      <c r="K61" s="44" t="s">
        <v>151</v>
      </c>
      <c r="L61" s="37"/>
      <c r="M61" s="44" t="s">
        <v>151</v>
      </c>
      <c r="N61" s="37"/>
      <c r="O61" s="44" t="s">
        <v>151</v>
      </c>
      <c r="P61" s="37"/>
      <c r="Q61" s="44" t="s">
        <v>151</v>
      </c>
      <c r="R61" s="37"/>
      <c r="S61" s="44" t="s">
        <v>151</v>
      </c>
      <c r="T61" s="37"/>
      <c r="U61" s="44" t="s">
        <v>151</v>
      </c>
      <c r="V61" s="37"/>
      <c r="W61" s="44" t="s">
        <v>151</v>
      </c>
      <c r="X61" s="37"/>
      <c r="Y61" s="44" t="s">
        <v>151</v>
      </c>
      <c r="Z61" s="37"/>
      <c r="AA61" s="44" t="s">
        <v>151</v>
      </c>
      <c r="AB61" s="37"/>
      <c r="AC61" s="44" t="s">
        <v>151</v>
      </c>
      <c r="AD61" s="37"/>
      <c r="AE61" s="1" t="s">
        <v>164</v>
      </c>
      <c r="AK61" s="4" t="str">
        <f t="shared" si="3"/>
        <v/>
      </c>
      <c r="AL61" s="4"/>
      <c r="AM61" s="4" t="str">
        <f t="shared" si="4"/>
        <v/>
      </c>
      <c r="AN61" s="4" t="str">
        <f>IFERROR(_xlfn.XLOOKUP(HEX2DEC(MID(AM61,LEN(AM61)-7,4)),mscod[MSCOD_BY_VAL],mscod[Description],""),"")</f>
        <v/>
      </c>
      <c r="AO61" s="4" t="str" cm="1">
        <f t="array" ref="AO61">_xlfn.XLOOKUP($K$1&amp;$Q$1&amp;"DPMB_SOCKET0__COMPUTE"&amp;AK61&amp;"__UNCORE__CHA__CHA"&amp;AL61&amp;"__UTIL__MC_ADDR"&amp;$B$1,cha_mc[VisualId]&amp;cha_mc[UnitTestingSeqKey]&amp;cha_mc[TestName],cha_mc[TestValue],"")</f>
        <v/>
      </c>
      <c r="AP61" s="4" t="str" cm="1">
        <f t="array" ref="AP61">_xlfn.XLOOKUP($K$1&amp;$Q$1&amp;"DPMB_SOCKET0__COMPUTE"&amp;AK61&amp;"__UNCORE__CHA__CHA"&amp;AL61&amp;"__UTIL__MC_MISC"&amp;$B$1,cha_mc[VisualId]&amp;cha_mc[UnitTestingSeqKey]&amp;cha_mc[TestName],cha_mc[TestValue],"")</f>
        <v/>
      </c>
      <c r="AQ61" s="30"/>
      <c r="AR61" s="30"/>
      <c r="AS61" s="30"/>
      <c r="AT61" s="30"/>
      <c r="AU61" s="30"/>
      <c r="AV61" s="4" t="str" cm="1">
        <f t="array" ref="AV61">_xlfn.XLOOKUP($K$1&amp;$Q$1&amp;"DPMB_SOCKET0__COMPUTE"&amp;AK61&amp;"__UNCORE__CHA__CHA"&amp;AL61&amp;"__UTIL__MC_MISC3"&amp;$B$1,cha_mc[VisualId]&amp;cha_mc[UnitTestingSeqKey]&amp;cha_mc[TestName],cha_mc[TestValue],"")</f>
        <v/>
      </c>
      <c r="AW61" s="30"/>
      <c r="AX61" s="30"/>
      <c r="AY61" s="30"/>
      <c r="AZ61" s="30"/>
      <c r="BA61" s="30"/>
    </row>
    <row r="62" spans="1:53" x14ac:dyDescent="0.3">
      <c r="A62" s="4" t="str">
        <f t="shared" si="5"/>
        <v>74X97M1000031</v>
      </c>
      <c r="B62" s="4" t="str">
        <f t="shared" si="1"/>
        <v>1-1</v>
      </c>
      <c r="C62" s="4">
        <v>0</v>
      </c>
      <c r="D62" s="4">
        <v>58</v>
      </c>
      <c r="E62" s="4" t="str" cm="1">
        <f t="array" ref="E62">_xlfn.XLOOKUP(A62&amp;B62&amp;$E$1&amp;"DPMB_SOCKET0__COMPUTE"&amp;C62&amp;"__CPU__CORE"&amp;Check!D62&amp;"__ML2_CR_MC3_STATUS"&amp;$B$1,core_mc[VisualId]&amp;core_mc[PPVRun_MC]&amp;core_mc[Lot]&amp;core_mc[TestNameWithoutNumeric],core_mc[TestValue],"")</f>
        <v/>
      </c>
      <c r="F62" s="4">
        <v>58</v>
      </c>
      <c r="G62" s="4" t="str" cm="1">
        <f t="array" ref="G62">_xlfn.XLOOKUP(A62&amp;B62&amp;$E$1&amp;"DPMB_SOCKET0__COMPUTE"&amp;C62&amp;"__UNCORE__CHA__CHA"&amp;Check!F62&amp;"__UTIL__MC_STATUS"&amp;$B$1,cha_mc[VisualId]&amp;cha_mc[PPVRun_MC]&amp;cha_mc[Lot]&amp;cha_mc[TestNameWithoutNumeric],cha_mc[TestValue],"")</f>
        <v/>
      </c>
      <c r="H62" s="4" t="str">
        <f t="shared" si="2"/>
        <v/>
      </c>
      <c r="J62" s="2">
        <v>2</v>
      </c>
      <c r="K62" s="38"/>
      <c r="L62" s="37"/>
      <c r="M62" s="38"/>
      <c r="N62" s="37"/>
      <c r="O62" s="38"/>
      <c r="P62" s="37"/>
      <c r="Q62" s="38"/>
      <c r="R62" s="37"/>
      <c r="S62" s="38"/>
      <c r="T62" s="37"/>
      <c r="U62" s="38"/>
      <c r="V62" s="37"/>
      <c r="W62" s="38"/>
      <c r="X62" s="37"/>
      <c r="Y62" s="38"/>
      <c r="Z62" s="37"/>
      <c r="AA62" s="38"/>
      <c r="AB62" s="37"/>
      <c r="AC62" s="38"/>
      <c r="AD62" s="37"/>
      <c r="AE62" s="2">
        <v>2</v>
      </c>
      <c r="AK62" s="4" t="str">
        <f t="shared" si="3"/>
        <v/>
      </c>
      <c r="AL62" s="4"/>
      <c r="AM62" s="4" t="str">
        <f t="shared" si="4"/>
        <v/>
      </c>
      <c r="AN62" s="4" t="str">
        <f>IFERROR(_xlfn.XLOOKUP(HEX2DEC(MID(AM62,LEN(AM62)-7,4)),mscod[MSCOD_BY_VAL],mscod[Description],""),"")</f>
        <v/>
      </c>
      <c r="AO62" s="4" t="str" cm="1">
        <f t="array" ref="AO62">_xlfn.XLOOKUP($K$1&amp;$Q$1&amp;"DPMB_SOCKET0__COMPUTE"&amp;AK62&amp;"__UNCORE__CHA__CHA"&amp;AL62&amp;"__UTIL__MC_ADDR"&amp;$B$1,cha_mc[VisualId]&amp;cha_mc[UnitTestingSeqKey]&amp;cha_mc[TestName],cha_mc[TestValue],"")</f>
        <v/>
      </c>
      <c r="AP62" s="4" t="str" cm="1">
        <f t="array" ref="AP62">_xlfn.XLOOKUP($K$1&amp;$Q$1&amp;"DPMB_SOCKET0__COMPUTE"&amp;AK62&amp;"__UNCORE__CHA__CHA"&amp;AL62&amp;"__UTIL__MC_MISC"&amp;$B$1,cha_mc[VisualId]&amp;cha_mc[UnitTestingSeqKey]&amp;cha_mc[TestName],cha_mc[TestValue],"")</f>
        <v/>
      </c>
      <c r="AQ62" s="30"/>
      <c r="AR62" s="30"/>
      <c r="AS62" s="30"/>
      <c r="AT62" s="30"/>
      <c r="AU62" s="30"/>
      <c r="AV62" s="4" t="str" cm="1">
        <f t="array" ref="AV62">_xlfn.XLOOKUP($K$1&amp;$Q$1&amp;"DPMB_SOCKET0__COMPUTE"&amp;AK62&amp;"__UNCORE__CHA__CHA"&amp;AL62&amp;"__UTIL__MC_MISC3"&amp;$B$1,cha_mc[VisualId]&amp;cha_mc[UnitTestingSeqKey]&amp;cha_mc[TestName],cha_mc[TestValue],"")</f>
        <v/>
      </c>
      <c r="AW62" s="30"/>
      <c r="AX62" s="30"/>
      <c r="AY62" s="30"/>
      <c r="AZ62" s="30"/>
      <c r="BA62" s="30"/>
    </row>
    <row r="63" spans="1:53" x14ac:dyDescent="0.3">
      <c r="A63" s="4" t="str">
        <f t="shared" si="5"/>
        <v>74X97M1000031</v>
      </c>
      <c r="B63" s="4" t="str">
        <f t="shared" si="1"/>
        <v>1-1</v>
      </c>
      <c r="C63" s="4">
        <v>0</v>
      </c>
      <c r="D63" s="4">
        <v>59</v>
      </c>
      <c r="E63" s="4" t="str" cm="1">
        <f t="array" ref="E63">_xlfn.XLOOKUP(A63&amp;B63&amp;$E$1&amp;"DPMB_SOCKET0__COMPUTE"&amp;C63&amp;"__CPU__CORE"&amp;Check!D63&amp;"__ML2_CR_MC3_STATUS"&amp;$B$1,core_mc[VisualId]&amp;core_mc[PPVRun_MC]&amp;core_mc[Lot]&amp;core_mc[TestNameWithoutNumeric],core_mc[TestValue],"")</f>
        <v/>
      </c>
      <c r="F63" s="4">
        <v>59</v>
      </c>
      <c r="G63" s="4" t="str" cm="1">
        <f t="array" ref="G63">_xlfn.XLOOKUP(A63&amp;B63&amp;$E$1&amp;"DPMB_SOCKET0__COMPUTE"&amp;C63&amp;"__UNCORE__CHA__CHA"&amp;Check!F63&amp;"__UTIL__MC_STATUS"&amp;$B$1,cha_mc[VisualId]&amp;cha_mc[PPVRun_MC]&amp;cha_mc[Lot]&amp;cha_mc[TestNameWithoutNumeric],cha_mc[TestValue],"")</f>
        <v/>
      </c>
      <c r="H63" s="4" t="str">
        <f t="shared" si="2"/>
        <v/>
      </c>
      <c r="J63" s="2">
        <v>1</v>
      </c>
      <c r="K63" s="38"/>
      <c r="L63" s="37"/>
      <c r="M63" s="38" t="s">
        <v>165</v>
      </c>
      <c r="N63" s="37"/>
      <c r="O63" s="38"/>
      <c r="P63" s="37"/>
      <c r="Q63" s="38" t="s">
        <v>166</v>
      </c>
      <c r="R63" s="37"/>
      <c r="S63" s="38" t="s">
        <v>167</v>
      </c>
      <c r="T63" s="37"/>
      <c r="U63" s="38" t="s">
        <v>168</v>
      </c>
      <c r="V63" s="37"/>
      <c r="W63" s="38"/>
      <c r="X63" s="37"/>
      <c r="Y63" s="38"/>
      <c r="Z63" s="37"/>
      <c r="AA63" s="38" t="s">
        <v>169</v>
      </c>
      <c r="AB63" s="37"/>
      <c r="AC63" s="38"/>
      <c r="AD63" s="37"/>
      <c r="AE63" s="2">
        <v>1</v>
      </c>
      <c r="AK63" s="4" t="str">
        <f t="shared" si="3"/>
        <v/>
      </c>
      <c r="AL63" s="4"/>
      <c r="AM63" s="4" t="str">
        <f t="shared" si="4"/>
        <v/>
      </c>
      <c r="AN63" s="4" t="str">
        <f>IFERROR(_xlfn.XLOOKUP(HEX2DEC(MID(AM63,LEN(AM63)-7,4)),mscod[MSCOD_BY_VAL],mscod[Description],""),"")</f>
        <v/>
      </c>
      <c r="AO63" s="4" t="str" cm="1">
        <f t="array" ref="AO63">_xlfn.XLOOKUP($K$1&amp;$Q$1&amp;"DPMB_SOCKET0__COMPUTE"&amp;AK63&amp;"__UNCORE__CHA__CHA"&amp;AL63&amp;"__UTIL__MC_ADDR"&amp;$B$1,cha_mc[VisualId]&amp;cha_mc[UnitTestingSeqKey]&amp;cha_mc[TestName],cha_mc[TestValue],"")</f>
        <v/>
      </c>
      <c r="AP63" s="4" t="str" cm="1">
        <f t="array" ref="AP63">_xlfn.XLOOKUP($K$1&amp;$Q$1&amp;"DPMB_SOCKET0__COMPUTE"&amp;AK63&amp;"__UNCORE__CHA__CHA"&amp;AL63&amp;"__UTIL__MC_MISC"&amp;$B$1,cha_mc[VisualId]&amp;cha_mc[UnitTestingSeqKey]&amp;cha_mc[TestName],cha_mc[TestValue],"")</f>
        <v/>
      </c>
      <c r="AQ63" s="30"/>
      <c r="AR63" s="30"/>
      <c r="AS63" s="30"/>
      <c r="AT63" s="30"/>
      <c r="AU63" s="30"/>
      <c r="AV63" s="4" t="str" cm="1">
        <f t="array" ref="AV63">_xlfn.XLOOKUP($K$1&amp;$Q$1&amp;"DPMB_SOCKET0__COMPUTE"&amp;AK63&amp;"__UNCORE__CHA__CHA"&amp;AL63&amp;"__UTIL__MC_MISC3"&amp;$B$1,cha_mc[VisualId]&amp;cha_mc[UnitTestingSeqKey]&amp;cha_mc[TestName],cha_mc[TestValue],"")</f>
        <v/>
      </c>
      <c r="AW63" s="30"/>
      <c r="AX63" s="30"/>
      <c r="AY63" s="30"/>
      <c r="AZ63" s="30"/>
      <c r="BA63" s="30"/>
    </row>
    <row r="64" spans="1:53" x14ac:dyDescent="0.3">
      <c r="A64" s="4" t="str">
        <f t="shared" si="5"/>
        <v>74X97M1000031</v>
      </c>
      <c r="B64" s="4" t="str">
        <f t="shared" si="1"/>
        <v>1-1</v>
      </c>
      <c r="C64" s="4">
        <v>1</v>
      </c>
      <c r="D64" s="4">
        <v>60</v>
      </c>
      <c r="E64" s="4" t="str" cm="1">
        <f t="array" ref="E64">_xlfn.XLOOKUP(A64&amp;B64&amp;$E$1&amp;"DPMB_SOCKET0__COMPUTE"&amp;C64&amp;"__CPU__CORE"&amp;Check!D64&amp;"__ML2_CR_MC3_STATUS"&amp;$B$1,core_mc[VisualId]&amp;core_mc[PPVRun_MC]&amp;core_mc[Lot]&amp;core_mc[TestNameWithoutNumeric],core_mc[TestValue],"")</f>
        <v/>
      </c>
      <c r="F64" s="4">
        <v>60</v>
      </c>
      <c r="G64" s="4" t="str" cm="1">
        <f t="array" ref="G64">_xlfn.XLOOKUP(A64&amp;B64&amp;$E$1&amp;"DPMB_SOCKET0__COMPUTE"&amp;C64&amp;"__UNCORE__CHA__CHA"&amp;Check!F64&amp;"__UTIL__MC_STATUS"&amp;$B$1,cha_mc[VisualId]&amp;cha_mc[PPVRun_MC]&amp;cha_mc[Lot]&amp;cha_mc[TestNameWithoutNumeric],cha_mc[TestValue],"")</f>
        <v/>
      </c>
      <c r="H64" s="4" t="str">
        <f t="shared" si="2"/>
        <v/>
      </c>
      <c r="J64" s="2">
        <v>0</v>
      </c>
      <c r="K64" s="38" t="s">
        <v>170</v>
      </c>
      <c r="L64" s="37"/>
      <c r="M64" s="38"/>
      <c r="N64" s="37"/>
      <c r="O64" s="38"/>
      <c r="P64" s="37"/>
      <c r="Q64" s="38"/>
      <c r="R64" s="37"/>
      <c r="S64" s="38" t="s">
        <v>171</v>
      </c>
      <c r="T64" s="37"/>
      <c r="U64" s="38" t="s">
        <v>172</v>
      </c>
      <c r="V64" s="37"/>
      <c r="W64" s="38" t="s">
        <v>173</v>
      </c>
      <c r="X64" s="37"/>
      <c r="Y64" s="38"/>
      <c r="Z64" s="37"/>
      <c r="AA64" s="38"/>
      <c r="AB64" s="37"/>
      <c r="AC64" s="38" t="s">
        <v>174</v>
      </c>
      <c r="AD64" s="37"/>
      <c r="AE64" s="2">
        <v>0</v>
      </c>
      <c r="AK64" s="4" t="str">
        <f t="shared" si="3"/>
        <v/>
      </c>
      <c r="AL64" s="4"/>
      <c r="AM64" s="4" t="str">
        <f t="shared" si="4"/>
        <v/>
      </c>
      <c r="AN64" s="4" t="str">
        <f>IFERROR(_xlfn.XLOOKUP(HEX2DEC(MID(AM64,LEN(AM64)-7,4)),mscod[MSCOD_BY_VAL],mscod[Description],""),"")</f>
        <v/>
      </c>
      <c r="AO64" s="4" t="str" cm="1">
        <f t="array" ref="AO64">_xlfn.XLOOKUP($K$1&amp;$Q$1&amp;"DPMB_SOCKET0__COMPUTE"&amp;AK64&amp;"__UNCORE__CHA__CHA"&amp;AL64&amp;"__UTIL__MC_ADDR"&amp;$B$1,cha_mc[VisualId]&amp;cha_mc[UnitTestingSeqKey]&amp;cha_mc[TestName],cha_mc[TestValue],"")</f>
        <v/>
      </c>
      <c r="AP64" s="4" t="str" cm="1">
        <f t="array" ref="AP64">_xlfn.XLOOKUP($K$1&amp;$Q$1&amp;"DPMB_SOCKET0__COMPUTE"&amp;AK64&amp;"__UNCORE__CHA__CHA"&amp;AL64&amp;"__UTIL__MC_MISC"&amp;$B$1,cha_mc[VisualId]&amp;cha_mc[UnitTestingSeqKey]&amp;cha_mc[TestName],cha_mc[TestValue],"")</f>
        <v/>
      </c>
      <c r="AQ64" s="30"/>
      <c r="AR64" s="30"/>
      <c r="AS64" s="30"/>
      <c r="AT64" s="30"/>
      <c r="AU64" s="30"/>
      <c r="AV64" s="4" t="str" cm="1">
        <f t="array" ref="AV64">_xlfn.XLOOKUP($K$1&amp;$Q$1&amp;"DPMB_SOCKET0__COMPUTE"&amp;AK64&amp;"__UNCORE__CHA__CHA"&amp;AL64&amp;"__UTIL__MC_MISC3"&amp;$B$1,cha_mc[VisualId]&amp;cha_mc[UnitTestingSeqKey]&amp;cha_mc[TestName],cha_mc[TestValue],"")</f>
        <v/>
      </c>
      <c r="AW64" s="30"/>
      <c r="AX64" s="30"/>
      <c r="AY64" s="30"/>
      <c r="AZ64" s="30"/>
      <c r="BA64" s="30"/>
    </row>
    <row r="65" spans="1:53" x14ac:dyDescent="0.3">
      <c r="A65" s="4" t="str">
        <f t="shared" si="5"/>
        <v>74X97M1000031</v>
      </c>
      <c r="B65" s="4" t="str">
        <f t="shared" si="1"/>
        <v>1-1</v>
      </c>
      <c r="C65" s="4">
        <v>1</v>
      </c>
      <c r="D65" s="4">
        <v>61</v>
      </c>
      <c r="E65" s="4" t="str" cm="1">
        <f t="array" ref="E65">_xlfn.XLOOKUP(A65&amp;B65&amp;$E$1&amp;"DPMB_SOCKET0__COMPUTE"&amp;C65&amp;"__CPU__CORE"&amp;Check!D65&amp;"__ML2_CR_MC3_STATUS"&amp;$B$1,core_mc[VisualId]&amp;core_mc[PPVRun_MC]&amp;core_mc[Lot]&amp;core_mc[TestNameWithoutNumeric],core_mc[TestValue],"")</f>
        <v/>
      </c>
      <c r="F65" s="4">
        <v>61</v>
      </c>
      <c r="G65" s="4" t="str" cm="1">
        <f t="array" ref="G65">_xlfn.XLOOKUP(A65&amp;B65&amp;$E$1&amp;"DPMB_SOCKET0__COMPUTE"&amp;C65&amp;"__UNCORE__CHA__CHA"&amp;Check!F65&amp;"__UTIL__MC_STATUS"&amp;$B$1,cha_mc[VisualId]&amp;cha_mc[PPVRun_MC]&amp;cha_mc[Lot]&amp;cha_mc[TestNameWithoutNumeric],cha_mc[TestValue],"")</f>
        <v/>
      </c>
      <c r="H65" s="4" t="str">
        <f t="shared" si="2"/>
        <v/>
      </c>
      <c r="J65" s="1" t="s">
        <v>164</v>
      </c>
      <c r="K65" s="36">
        <v>0</v>
      </c>
      <c r="L65" s="37"/>
      <c r="M65" s="36">
        <v>1</v>
      </c>
      <c r="N65" s="37"/>
      <c r="O65" s="36">
        <v>2</v>
      </c>
      <c r="P65" s="37"/>
      <c r="Q65" s="36">
        <v>3</v>
      </c>
      <c r="R65" s="37"/>
      <c r="S65" s="36">
        <v>4</v>
      </c>
      <c r="T65" s="37"/>
      <c r="U65" s="36">
        <v>5</v>
      </c>
      <c r="V65" s="37"/>
      <c r="W65" s="36">
        <v>6</v>
      </c>
      <c r="X65" s="37"/>
      <c r="Y65" s="36">
        <v>7</v>
      </c>
      <c r="Z65" s="37"/>
      <c r="AA65" s="36">
        <v>8</v>
      </c>
      <c r="AB65" s="37"/>
      <c r="AC65" s="36">
        <v>9</v>
      </c>
      <c r="AD65" s="37"/>
      <c r="AE65" s="1" t="s">
        <v>164</v>
      </c>
      <c r="AK65" s="4" t="str">
        <f t="shared" si="3"/>
        <v/>
      </c>
      <c r="AL65" s="4"/>
      <c r="AM65" s="4" t="str">
        <f t="shared" si="4"/>
        <v/>
      </c>
      <c r="AN65" s="4" t="str">
        <f>IFERROR(_xlfn.XLOOKUP(HEX2DEC(MID(AM65,LEN(AM65)-7,4)),mscod[MSCOD_BY_VAL],mscod[Description],""),"")</f>
        <v/>
      </c>
      <c r="AO65" s="4" t="str" cm="1">
        <f t="array" ref="AO65">_xlfn.XLOOKUP($K$1&amp;$Q$1&amp;"DPMB_SOCKET0__COMPUTE"&amp;AK65&amp;"__UNCORE__CHA__CHA"&amp;AL65&amp;"__UTIL__MC_ADDR"&amp;$B$1,cha_mc[VisualId]&amp;cha_mc[UnitTestingSeqKey]&amp;cha_mc[TestName],cha_mc[TestValue],"")</f>
        <v/>
      </c>
      <c r="AP65" s="4" t="str" cm="1">
        <f t="array" ref="AP65">_xlfn.XLOOKUP($K$1&amp;$Q$1&amp;"DPMB_SOCKET0__COMPUTE"&amp;AK65&amp;"__UNCORE__CHA__CHA"&amp;AL65&amp;"__UTIL__MC_MISC"&amp;$B$1,cha_mc[VisualId]&amp;cha_mc[UnitTestingSeqKey]&amp;cha_mc[TestName],cha_mc[TestValue],"")</f>
        <v/>
      </c>
      <c r="AQ65" s="30"/>
      <c r="AR65" s="30"/>
      <c r="AS65" s="30"/>
      <c r="AT65" s="30"/>
      <c r="AU65" s="30"/>
      <c r="AV65" s="4" t="str" cm="1">
        <f t="array" ref="AV65">_xlfn.XLOOKUP($K$1&amp;$Q$1&amp;"DPMB_SOCKET0__COMPUTE"&amp;AK65&amp;"__UNCORE__CHA__CHA"&amp;AL65&amp;"__UTIL__MC_MISC3"&amp;$B$1,cha_mc[VisualId]&amp;cha_mc[UnitTestingSeqKey]&amp;cha_mc[TestName],cha_mc[TestValue],"")</f>
        <v/>
      </c>
      <c r="AW65" s="30"/>
      <c r="AX65" s="30"/>
      <c r="AY65" s="30"/>
      <c r="AZ65" s="30"/>
      <c r="BA65" s="30"/>
    </row>
    <row r="66" spans="1:53" x14ac:dyDescent="0.3">
      <c r="A66" s="4" t="str">
        <f t="shared" si="5"/>
        <v>74X97M1000031</v>
      </c>
      <c r="B66" s="4" t="str">
        <f t="shared" si="1"/>
        <v>1-1</v>
      </c>
      <c r="C66" s="4">
        <v>1</v>
      </c>
      <c r="D66" s="4">
        <v>62</v>
      </c>
      <c r="E66" s="4" t="str" cm="1">
        <f t="array" ref="E66">_xlfn.XLOOKUP(A66&amp;B66&amp;$E$1&amp;"DPMB_SOCKET0__COMPUTE"&amp;C66&amp;"__CPU__CORE"&amp;Check!D66&amp;"__ML2_CR_MC3_STATUS"&amp;$B$1,core_mc[VisualId]&amp;core_mc[PPVRun_MC]&amp;core_mc[Lot]&amp;core_mc[TestNameWithoutNumeric],core_mc[TestValue],"")</f>
        <v/>
      </c>
      <c r="F66" s="4">
        <v>62</v>
      </c>
      <c r="G66" s="4" t="str" cm="1">
        <f t="array" ref="G66">_xlfn.XLOOKUP(A66&amp;B66&amp;$E$1&amp;"DPMB_SOCKET0__COMPUTE"&amp;C66&amp;"__UNCORE__CHA__CHA"&amp;Check!F66&amp;"__UTIL__MC_STATUS"&amp;$B$1,cha_mc[VisualId]&amp;cha_mc[PPVRun_MC]&amp;cha_mc[Lot]&amp;cha_mc[TestNameWithoutNumeric],cha_mc[TestValue],"")</f>
        <v/>
      </c>
      <c r="H66" s="4" t="str">
        <f t="shared" si="2"/>
        <v/>
      </c>
      <c r="AK66" s="4" t="str">
        <f t="shared" si="3"/>
        <v/>
      </c>
      <c r="AL66" s="4"/>
      <c r="AM66" s="4" t="str">
        <f t="shared" si="4"/>
        <v/>
      </c>
      <c r="AN66" s="4" t="str">
        <f>IFERROR(_xlfn.XLOOKUP(HEX2DEC(MID(AM66,LEN(AM66)-7,4)),mscod[MSCOD_BY_VAL],mscod[Description],""),"")</f>
        <v/>
      </c>
      <c r="AO66" s="4" t="str" cm="1">
        <f t="array" ref="AO66">_xlfn.XLOOKUP($K$1&amp;$Q$1&amp;"DPMB_SOCKET0__COMPUTE"&amp;AK66&amp;"__UNCORE__CHA__CHA"&amp;AL66&amp;"__UTIL__MC_ADDR"&amp;$B$1,cha_mc[VisualId]&amp;cha_mc[UnitTestingSeqKey]&amp;cha_mc[TestName],cha_mc[TestValue],"")</f>
        <v/>
      </c>
      <c r="AP66" s="4" t="str" cm="1">
        <f t="array" ref="AP66">_xlfn.XLOOKUP($K$1&amp;$Q$1&amp;"DPMB_SOCKET0__COMPUTE"&amp;AK66&amp;"__UNCORE__CHA__CHA"&amp;AL66&amp;"__UTIL__MC_MISC"&amp;$B$1,cha_mc[VisualId]&amp;cha_mc[UnitTestingSeqKey]&amp;cha_mc[TestName],cha_mc[TestValue],"")</f>
        <v/>
      </c>
      <c r="AQ66" s="30"/>
      <c r="AR66" s="30"/>
      <c r="AS66" s="30"/>
      <c r="AT66" s="30"/>
      <c r="AU66" s="30"/>
      <c r="AV66" s="4" t="str" cm="1">
        <f t="array" ref="AV66">_xlfn.XLOOKUP($K$1&amp;$Q$1&amp;"DPMB_SOCKET0__COMPUTE"&amp;AK66&amp;"__UNCORE__CHA__CHA"&amp;AL66&amp;"__UTIL__MC_MISC3"&amp;$B$1,cha_mc[VisualId]&amp;cha_mc[UnitTestingSeqKey]&amp;cha_mc[TestName],cha_mc[TestValue],"")</f>
        <v/>
      </c>
      <c r="AW66" s="30"/>
      <c r="AX66" s="30"/>
      <c r="AY66" s="30"/>
      <c r="AZ66" s="30"/>
      <c r="BA66" s="30"/>
    </row>
    <row r="67" spans="1:53" x14ac:dyDescent="0.3">
      <c r="A67" s="4" t="str">
        <f t="shared" si="5"/>
        <v>74X97M1000031</v>
      </c>
      <c r="B67" s="4" t="str">
        <f t="shared" si="1"/>
        <v>1-1</v>
      </c>
      <c r="C67" s="4">
        <v>1</v>
      </c>
      <c r="D67" s="4">
        <v>63</v>
      </c>
      <c r="E67" s="4" t="str" cm="1">
        <f t="array" ref="E67">_xlfn.XLOOKUP(A67&amp;B67&amp;$E$1&amp;"DPMB_SOCKET0__COMPUTE"&amp;C67&amp;"__CPU__CORE"&amp;Check!D67&amp;"__ML2_CR_MC3_STATUS"&amp;$B$1,core_mc[VisualId]&amp;core_mc[PPVRun_MC]&amp;core_mc[Lot]&amp;core_mc[TestNameWithoutNumeric],core_mc[TestValue],"")</f>
        <v/>
      </c>
      <c r="F67" s="4">
        <v>63</v>
      </c>
      <c r="G67" s="4" t="str" cm="1">
        <f t="array" ref="G67">_xlfn.XLOOKUP(A67&amp;B67&amp;$E$1&amp;"DPMB_SOCKET0__COMPUTE"&amp;C67&amp;"__UNCORE__CHA__CHA"&amp;Check!F67&amp;"__UTIL__MC_STATUS"&amp;$B$1,cha_mc[VisualId]&amp;cha_mc[PPVRun_MC]&amp;cha_mc[Lot]&amp;cha_mc[TestNameWithoutNumeric],cha_mc[TestValue],"")</f>
        <v/>
      </c>
      <c r="H67" s="4" t="str">
        <f t="shared" si="2"/>
        <v/>
      </c>
      <c r="AK67" s="4" t="str">
        <f t="shared" si="3"/>
        <v/>
      </c>
      <c r="AL67" s="4"/>
      <c r="AM67" s="4" t="str">
        <f t="shared" si="4"/>
        <v/>
      </c>
      <c r="AN67" s="4" t="str">
        <f>IFERROR(_xlfn.XLOOKUP(HEX2DEC(MID(AM67,LEN(AM67)-7,4)),mscod[MSCOD_BY_VAL],mscod[Description],""),"")</f>
        <v/>
      </c>
      <c r="AO67" s="4" t="str" cm="1">
        <f t="array" ref="AO67">_xlfn.XLOOKUP($K$1&amp;$Q$1&amp;"DPMB_SOCKET0__COMPUTE"&amp;AK67&amp;"__UNCORE__CHA__CHA"&amp;AL67&amp;"__UTIL__MC_ADDR"&amp;$B$1,cha_mc[VisualId]&amp;cha_mc[UnitTestingSeqKey]&amp;cha_mc[TestName],cha_mc[TestValue],"")</f>
        <v/>
      </c>
      <c r="AP67" s="4" t="str" cm="1">
        <f t="array" ref="AP67">_xlfn.XLOOKUP($K$1&amp;$Q$1&amp;"DPMB_SOCKET0__COMPUTE"&amp;AK67&amp;"__UNCORE__CHA__CHA"&amp;AL67&amp;"__UTIL__MC_MISC"&amp;$B$1,cha_mc[VisualId]&amp;cha_mc[UnitTestingSeqKey]&amp;cha_mc[TestName],cha_mc[TestValue],"")</f>
        <v/>
      </c>
      <c r="AQ67" s="30"/>
      <c r="AR67" s="30"/>
      <c r="AS67" s="30"/>
      <c r="AT67" s="30"/>
      <c r="AU67" s="30"/>
      <c r="AV67" s="4" t="str" cm="1">
        <f t="array" ref="AV67">_xlfn.XLOOKUP($K$1&amp;$Q$1&amp;"DPMB_SOCKET0__COMPUTE"&amp;AK67&amp;"__UNCORE__CHA__CHA"&amp;AL67&amp;"__UTIL__MC_MISC3"&amp;$B$1,cha_mc[VisualId]&amp;cha_mc[UnitTestingSeqKey]&amp;cha_mc[TestName],cha_mc[TestValue],"")</f>
        <v/>
      </c>
      <c r="AW67" s="30"/>
      <c r="AX67" s="30"/>
      <c r="AY67" s="30"/>
      <c r="AZ67" s="30"/>
      <c r="BA67" s="30"/>
    </row>
    <row r="68" spans="1:53" x14ac:dyDescent="0.3">
      <c r="A68" s="4" t="str">
        <f t="shared" ref="A68:A99" si="6">$K$1</f>
        <v>74X97M1000031</v>
      </c>
      <c r="B68" s="4" t="str">
        <f t="shared" si="1"/>
        <v>1-1</v>
      </c>
      <c r="C68" s="4">
        <v>1</v>
      </c>
      <c r="D68" s="4">
        <v>64</v>
      </c>
      <c r="E68" s="4" t="str" cm="1">
        <f t="array" ref="E68">_xlfn.XLOOKUP(A68&amp;B68&amp;$E$1&amp;"DPMB_SOCKET0__COMPUTE"&amp;C68&amp;"__CPU__CORE"&amp;Check!D68&amp;"__ML2_CR_MC3_STATUS"&amp;$B$1,core_mc[VisualId]&amp;core_mc[PPVRun_MC]&amp;core_mc[Lot]&amp;core_mc[TestNameWithoutNumeric],core_mc[TestValue],"")</f>
        <v/>
      </c>
      <c r="F68" s="4">
        <v>64</v>
      </c>
      <c r="G68" s="4" t="str" cm="1">
        <f t="array" ref="G68">_xlfn.XLOOKUP(A68&amp;B68&amp;$E$1&amp;"DPMB_SOCKET0__COMPUTE"&amp;C68&amp;"__UNCORE__CHA__CHA"&amp;Check!F68&amp;"__UTIL__MC_STATUS"&amp;$B$1,cha_mc[VisualId]&amp;cha_mc[PPVRun_MC]&amp;cha_mc[Lot]&amp;cha_mc[TestNameWithoutNumeric],cha_mc[TestValue],"")</f>
        <v/>
      </c>
      <c r="H68" s="4" t="str">
        <f t="shared" si="2"/>
        <v/>
      </c>
      <c r="AK68" s="4" t="str">
        <f t="shared" si="3"/>
        <v/>
      </c>
      <c r="AL68" s="4"/>
      <c r="AM68" s="4" t="str">
        <f t="shared" si="4"/>
        <v/>
      </c>
      <c r="AN68" s="4" t="str">
        <f>IFERROR(_xlfn.XLOOKUP(HEX2DEC(MID(AM68,LEN(AM68)-7,4)),mscod[MSCOD_BY_VAL],mscod[Description],""),"")</f>
        <v/>
      </c>
      <c r="AO68" s="4" t="str" cm="1">
        <f t="array" ref="AO68">_xlfn.XLOOKUP($K$1&amp;$Q$1&amp;"DPMB_SOCKET0__COMPUTE"&amp;AK68&amp;"__UNCORE__CHA__CHA"&amp;AL68&amp;"__UTIL__MC_ADDR"&amp;$B$1,cha_mc[VisualId]&amp;cha_mc[UnitTestingSeqKey]&amp;cha_mc[TestName],cha_mc[TestValue],"")</f>
        <v/>
      </c>
      <c r="AP68" s="4" t="str" cm="1">
        <f t="array" ref="AP68">_xlfn.XLOOKUP($K$1&amp;$Q$1&amp;"DPMB_SOCKET0__COMPUTE"&amp;AK68&amp;"__UNCORE__CHA__CHA"&amp;AL68&amp;"__UTIL__MC_MISC"&amp;$B$1,cha_mc[VisualId]&amp;cha_mc[UnitTestingSeqKey]&amp;cha_mc[TestName],cha_mc[TestValue],"")</f>
        <v/>
      </c>
      <c r="AQ68" s="30"/>
      <c r="AR68" s="30"/>
      <c r="AS68" s="30"/>
      <c r="AT68" s="30"/>
      <c r="AU68" s="30"/>
      <c r="AV68" s="4" t="str" cm="1">
        <f t="array" ref="AV68">_xlfn.XLOOKUP($K$1&amp;$Q$1&amp;"DPMB_SOCKET0__COMPUTE"&amp;AK68&amp;"__UNCORE__CHA__CHA"&amp;AL68&amp;"__UTIL__MC_MISC3"&amp;$B$1,cha_mc[VisualId]&amp;cha_mc[UnitTestingSeqKey]&amp;cha_mc[TestName],cha_mc[TestValue],"")</f>
        <v/>
      </c>
      <c r="AW68" s="30"/>
      <c r="AX68" s="30"/>
      <c r="AY68" s="30"/>
      <c r="AZ68" s="30"/>
      <c r="BA68" s="30"/>
    </row>
    <row r="69" spans="1:53" x14ac:dyDescent="0.3">
      <c r="A69" s="4" t="str">
        <f t="shared" si="6"/>
        <v>74X97M1000031</v>
      </c>
      <c r="B69" s="4" t="str">
        <f t="shared" ref="B69:B132" si="7">$T$1&amp;"-"&amp;$Q$1</f>
        <v>1-1</v>
      </c>
      <c r="C69" s="4">
        <v>1</v>
      </c>
      <c r="D69" s="4">
        <v>65</v>
      </c>
      <c r="E69" s="4" t="str" cm="1">
        <f t="array" ref="E69">_xlfn.XLOOKUP(A69&amp;B69&amp;$E$1&amp;"DPMB_SOCKET0__COMPUTE"&amp;C69&amp;"__CPU__CORE"&amp;Check!D69&amp;"__ML2_CR_MC3_STATUS"&amp;$B$1,core_mc[VisualId]&amp;core_mc[PPVRun_MC]&amp;core_mc[Lot]&amp;core_mc[TestNameWithoutNumeric],core_mc[TestValue],"")</f>
        <v/>
      </c>
      <c r="F69" s="4">
        <v>65</v>
      </c>
      <c r="G69" s="4" t="str" cm="1">
        <f t="array" ref="G69">_xlfn.XLOOKUP(A69&amp;B69&amp;$E$1&amp;"DPMB_SOCKET0__COMPUTE"&amp;C69&amp;"__UNCORE__CHA__CHA"&amp;Check!F69&amp;"__UTIL__MC_STATUS"&amp;$B$1,cha_mc[VisualId]&amp;cha_mc[PPVRun_MC]&amp;cha_mc[Lot]&amp;cha_mc[TestNameWithoutNumeric],cha_mc[TestValue],"")</f>
        <v/>
      </c>
      <c r="H69" s="4" t="str">
        <f t="shared" ref="H69:H132" si="8">IF(G69="0X20000000000000","",G69)</f>
        <v/>
      </c>
      <c r="AK69" s="4" t="str">
        <f t="shared" ref="AK69:AK132" si="9">_xlfn.XLOOKUP(AL69,$F$4:$F$183,$C$4:$C$183,"")</f>
        <v/>
      </c>
      <c r="AL69" s="4"/>
      <c r="AM69" s="4" t="str">
        <f t="shared" ref="AM69:AM132" si="10">REPLACE(_xlfn.XLOOKUP(AL69,$F$4:$F$183,$G$4:$G$183,""),1,2,"")</f>
        <v/>
      </c>
      <c r="AN69" s="4" t="str">
        <f>IFERROR(_xlfn.XLOOKUP(HEX2DEC(MID(AM69,LEN(AM69)-7,4)),mscod[MSCOD_BY_VAL],mscod[Description],""),"")</f>
        <v/>
      </c>
      <c r="AO69" s="4" t="str" cm="1">
        <f t="array" ref="AO69">_xlfn.XLOOKUP($K$1&amp;$Q$1&amp;"DPMB_SOCKET0__COMPUTE"&amp;AK69&amp;"__UNCORE__CHA__CHA"&amp;AL69&amp;"__UTIL__MC_ADDR"&amp;$B$1,cha_mc[VisualId]&amp;cha_mc[UnitTestingSeqKey]&amp;cha_mc[TestName],cha_mc[TestValue],"")</f>
        <v/>
      </c>
      <c r="AP69" s="4" t="str" cm="1">
        <f t="array" ref="AP69">_xlfn.XLOOKUP($K$1&amp;$Q$1&amp;"DPMB_SOCKET0__COMPUTE"&amp;AK69&amp;"__UNCORE__CHA__CHA"&amp;AL69&amp;"__UTIL__MC_MISC"&amp;$B$1,cha_mc[VisualId]&amp;cha_mc[UnitTestingSeqKey]&amp;cha_mc[TestName],cha_mc[TestValue],"")</f>
        <v/>
      </c>
      <c r="AQ69" s="30"/>
      <c r="AR69" s="30"/>
      <c r="AS69" s="30"/>
      <c r="AT69" s="30"/>
      <c r="AU69" s="30"/>
      <c r="AV69" s="4" t="str" cm="1">
        <f t="array" ref="AV69">_xlfn.XLOOKUP($K$1&amp;$Q$1&amp;"DPMB_SOCKET0__COMPUTE"&amp;AK69&amp;"__UNCORE__CHA__CHA"&amp;AL69&amp;"__UTIL__MC_MISC3"&amp;$B$1,cha_mc[VisualId]&amp;cha_mc[UnitTestingSeqKey]&amp;cha_mc[TestName],cha_mc[TestValue],"")</f>
        <v/>
      </c>
      <c r="AW69" s="30"/>
      <c r="AX69" s="30"/>
      <c r="AY69" s="30"/>
      <c r="AZ69" s="30"/>
      <c r="BA69" s="30"/>
    </row>
    <row r="70" spans="1:53" x14ac:dyDescent="0.3">
      <c r="A70" s="4" t="str">
        <f t="shared" si="6"/>
        <v>74X97M1000031</v>
      </c>
      <c r="B70" s="4" t="str">
        <f t="shared" si="7"/>
        <v>1-1</v>
      </c>
      <c r="C70" s="4">
        <v>1</v>
      </c>
      <c r="D70" s="4">
        <v>66</v>
      </c>
      <c r="E70" s="4" t="str" cm="1">
        <f t="array" ref="E70">_xlfn.XLOOKUP(A70&amp;B70&amp;$E$1&amp;"DPMB_SOCKET0__COMPUTE"&amp;C70&amp;"__CPU__CORE"&amp;Check!D70&amp;"__ML2_CR_MC3_STATUS"&amp;$B$1,core_mc[VisualId]&amp;core_mc[PPVRun_MC]&amp;core_mc[Lot]&amp;core_mc[TestNameWithoutNumeric],core_mc[TestValue],"")</f>
        <v/>
      </c>
      <c r="F70" s="4">
        <v>66</v>
      </c>
      <c r="G70" s="4" t="str" cm="1">
        <f t="array" ref="G70">_xlfn.XLOOKUP(A70&amp;B70&amp;$E$1&amp;"DPMB_SOCKET0__COMPUTE"&amp;C70&amp;"__UNCORE__CHA__CHA"&amp;Check!F70&amp;"__UTIL__MC_STATUS"&amp;$B$1,cha_mc[VisualId]&amp;cha_mc[PPVRun_MC]&amp;cha_mc[Lot]&amp;cha_mc[TestNameWithoutNumeric],cha_mc[TestValue],"")</f>
        <v/>
      </c>
      <c r="H70" s="4" t="str">
        <f t="shared" si="8"/>
        <v/>
      </c>
      <c r="AK70" s="4" t="str">
        <f t="shared" si="9"/>
        <v/>
      </c>
      <c r="AL70" s="4"/>
      <c r="AM70" s="4" t="str">
        <f t="shared" si="10"/>
        <v/>
      </c>
      <c r="AN70" s="4" t="str">
        <f>IFERROR(_xlfn.XLOOKUP(HEX2DEC(MID(AM70,LEN(AM70)-7,4)),mscod[MSCOD_BY_VAL],mscod[Description],""),"")</f>
        <v/>
      </c>
      <c r="AO70" s="4" t="str" cm="1">
        <f t="array" ref="AO70">_xlfn.XLOOKUP($K$1&amp;$Q$1&amp;"DPMB_SOCKET0__COMPUTE"&amp;AK70&amp;"__UNCORE__CHA__CHA"&amp;AL70&amp;"__UTIL__MC_ADDR"&amp;$B$1,cha_mc[VisualId]&amp;cha_mc[UnitTestingSeqKey]&amp;cha_mc[TestName],cha_mc[TestValue],"")</f>
        <v/>
      </c>
      <c r="AP70" s="4" t="str" cm="1">
        <f t="array" ref="AP70">_xlfn.XLOOKUP($K$1&amp;$Q$1&amp;"DPMB_SOCKET0__COMPUTE"&amp;AK70&amp;"__UNCORE__CHA__CHA"&amp;AL70&amp;"__UTIL__MC_MISC"&amp;$B$1,cha_mc[VisualId]&amp;cha_mc[UnitTestingSeqKey]&amp;cha_mc[TestName],cha_mc[TestValue],"")</f>
        <v/>
      </c>
      <c r="AQ70" s="30"/>
      <c r="AR70" s="30"/>
      <c r="AS70" s="30"/>
      <c r="AT70" s="30"/>
      <c r="AU70" s="30"/>
      <c r="AV70" s="4" t="str" cm="1">
        <f t="array" ref="AV70">_xlfn.XLOOKUP($K$1&amp;$Q$1&amp;"DPMB_SOCKET0__COMPUTE"&amp;AK70&amp;"__UNCORE__CHA__CHA"&amp;AL70&amp;"__UTIL__MC_MISC3"&amp;$B$1,cha_mc[VisualId]&amp;cha_mc[UnitTestingSeqKey]&amp;cha_mc[TestName],cha_mc[TestValue],"")</f>
        <v/>
      </c>
      <c r="AW70" s="30"/>
      <c r="AX70" s="30"/>
      <c r="AY70" s="30"/>
      <c r="AZ70" s="30"/>
      <c r="BA70" s="30"/>
    </row>
    <row r="71" spans="1:53" x14ac:dyDescent="0.3">
      <c r="A71" s="4" t="str">
        <f t="shared" si="6"/>
        <v>74X97M1000031</v>
      </c>
      <c r="B71" s="4" t="str">
        <f t="shared" si="7"/>
        <v>1-1</v>
      </c>
      <c r="C71" s="4">
        <v>1</v>
      </c>
      <c r="D71" s="4">
        <v>67</v>
      </c>
      <c r="E71" s="4" t="str" cm="1">
        <f t="array" ref="E71">_xlfn.XLOOKUP(A71&amp;B71&amp;$E$1&amp;"DPMB_SOCKET0__COMPUTE"&amp;C71&amp;"__CPU__CORE"&amp;Check!D71&amp;"__ML2_CR_MC3_STATUS"&amp;$B$1,core_mc[VisualId]&amp;core_mc[PPVRun_MC]&amp;core_mc[Lot]&amp;core_mc[TestNameWithoutNumeric],core_mc[TestValue],"")</f>
        <v/>
      </c>
      <c r="F71" s="4">
        <v>67</v>
      </c>
      <c r="G71" s="4" t="str" cm="1">
        <f t="array" ref="G71">_xlfn.XLOOKUP(A71&amp;B71&amp;$E$1&amp;"DPMB_SOCKET0__COMPUTE"&amp;C71&amp;"__UNCORE__CHA__CHA"&amp;Check!F71&amp;"__UTIL__MC_STATUS"&amp;$B$1,cha_mc[VisualId]&amp;cha_mc[PPVRun_MC]&amp;cha_mc[Lot]&amp;cha_mc[TestNameWithoutNumeric],cha_mc[TestValue],"")</f>
        <v/>
      </c>
      <c r="H71" s="4" t="str">
        <f t="shared" si="8"/>
        <v/>
      </c>
      <c r="AK71" s="4" t="str">
        <f t="shared" si="9"/>
        <v/>
      </c>
      <c r="AL71" s="4"/>
      <c r="AM71" s="4" t="str">
        <f t="shared" si="10"/>
        <v/>
      </c>
      <c r="AN71" s="4" t="str">
        <f>IFERROR(_xlfn.XLOOKUP(HEX2DEC(MID(AM71,LEN(AM71)-7,4)),mscod[MSCOD_BY_VAL],mscod[Description],""),"")</f>
        <v/>
      </c>
      <c r="AO71" s="4" t="str" cm="1">
        <f t="array" ref="AO71">_xlfn.XLOOKUP($K$1&amp;$Q$1&amp;"DPMB_SOCKET0__COMPUTE"&amp;AK71&amp;"__UNCORE__CHA__CHA"&amp;AL71&amp;"__UTIL__MC_ADDR"&amp;$B$1,cha_mc[VisualId]&amp;cha_mc[UnitTestingSeqKey]&amp;cha_mc[TestName],cha_mc[TestValue],"")</f>
        <v/>
      </c>
      <c r="AP71" s="4" t="str" cm="1">
        <f t="array" ref="AP71">_xlfn.XLOOKUP($K$1&amp;$Q$1&amp;"DPMB_SOCKET0__COMPUTE"&amp;AK71&amp;"__UNCORE__CHA__CHA"&amp;AL71&amp;"__UTIL__MC_MISC"&amp;$B$1,cha_mc[VisualId]&amp;cha_mc[UnitTestingSeqKey]&amp;cha_mc[TestName],cha_mc[TestValue],"")</f>
        <v/>
      </c>
      <c r="AQ71" s="30"/>
      <c r="AR71" s="30"/>
      <c r="AS71" s="30"/>
      <c r="AT71" s="30"/>
      <c r="AU71" s="30"/>
      <c r="AV71" s="4" t="str" cm="1">
        <f t="array" ref="AV71">_xlfn.XLOOKUP($K$1&amp;$Q$1&amp;"DPMB_SOCKET0__COMPUTE"&amp;AK71&amp;"__UNCORE__CHA__CHA"&amp;AL71&amp;"__UTIL__MC_MISC3"&amp;$B$1,cha_mc[VisualId]&amp;cha_mc[UnitTestingSeqKey]&amp;cha_mc[TestName],cha_mc[TestValue],"")</f>
        <v/>
      </c>
      <c r="AW71" s="30"/>
      <c r="AX71" s="30"/>
      <c r="AY71" s="30"/>
      <c r="AZ71" s="30"/>
      <c r="BA71" s="30"/>
    </row>
    <row r="72" spans="1:53" x14ac:dyDescent="0.3">
      <c r="A72" s="4" t="str">
        <f t="shared" si="6"/>
        <v>74X97M1000031</v>
      </c>
      <c r="B72" s="4" t="str">
        <f t="shared" si="7"/>
        <v>1-1</v>
      </c>
      <c r="C72" s="4">
        <v>1</v>
      </c>
      <c r="D72" s="4">
        <v>68</v>
      </c>
      <c r="E72" s="4" t="str" cm="1">
        <f t="array" ref="E72">_xlfn.XLOOKUP(A72&amp;B72&amp;$E$1&amp;"DPMB_SOCKET0__COMPUTE"&amp;C72&amp;"__CPU__CORE"&amp;Check!D72&amp;"__ML2_CR_MC3_STATUS"&amp;$B$1,core_mc[VisualId]&amp;core_mc[PPVRun_MC]&amp;core_mc[Lot]&amp;core_mc[TestNameWithoutNumeric],core_mc[TestValue],"")</f>
        <v/>
      </c>
      <c r="F72" s="4">
        <v>68</v>
      </c>
      <c r="G72" s="4" t="str" cm="1">
        <f t="array" ref="G72">_xlfn.XLOOKUP(A72&amp;B72&amp;$E$1&amp;"DPMB_SOCKET0__COMPUTE"&amp;C72&amp;"__UNCORE__CHA__CHA"&amp;Check!F72&amp;"__UTIL__MC_STATUS"&amp;$B$1,cha_mc[VisualId]&amp;cha_mc[PPVRun_MC]&amp;cha_mc[Lot]&amp;cha_mc[TestNameWithoutNumeric],cha_mc[TestValue],"")</f>
        <v/>
      </c>
      <c r="H72" s="4" t="str">
        <f t="shared" si="8"/>
        <v/>
      </c>
      <c r="AK72" s="4" t="str">
        <f t="shared" si="9"/>
        <v/>
      </c>
      <c r="AL72" s="4"/>
      <c r="AM72" s="4" t="str">
        <f t="shared" si="10"/>
        <v/>
      </c>
      <c r="AN72" s="4" t="str">
        <f>IFERROR(_xlfn.XLOOKUP(HEX2DEC(MID(AM72,LEN(AM72)-7,4)),mscod[MSCOD_BY_VAL],mscod[Description],""),"")</f>
        <v/>
      </c>
      <c r="AO72" s="4" t="str" cm="1">
        <f t="array" ref="AO72">_xlfn.XLOOKUP($K$1&amp;$Q$1&amp;"DPMB_SOCKET0__COMPUTE"&amp;AK72&amp;"__UNCORE__CHA__CHA"&amp;AL72&amp;"__UTIL__MC_ADDR"&amp;$B$1,cha_mc[VisualId]&amp;cha_mc[UnitTestingSeqKey]&amp;cha_mc[TestName],cha_mc[TestValue],"")</f>
        <v/>
      </c>
      <c r="AP72" s="4" t="str" cm="1">
        <f t="array" ref="AP72">_xlfn.XLOOKUP($K$1&amp;$Q$1&amp;"DPMB_SOCKET0__COMPUTE"&amp;AK72&amp;"__UNCORE__CHA__CHA"&amp;AL72&amp;"__UTIL__MC_MISC"&amp;$B$1,cha_mc[VisualId]&amp;cha_mc[UnitTestingSeqKey]&amp;cha_mc[TestName],cha_mc[TestValue],"")</f>
        <v/>
      </c>
      <c r="AQ72" s="30"/>
      <c r="AR72" s="30"/>
      <c r="AS72" s="30"/>
      <c r="AT72" s="30"/>
      <c r="AU72" s="30"/>
      <c r="AV72" s="4" t="str" cm="1">
        <f t="array" ref="AV72">_xlfn.XLOOKUP($K$1&amp;$Q$1&amp;"DPMB_SOCKET0__COMPUTE"&amp;AK72&amp;"__UNCORE__CHA__CHA"&amp;AL72&amp;"__UTIL__MC_MISC3"&amp;$B$1,cha_mc[VisualId]&amp;cha_mc[UnitTestingSeqKey]&amp;cha_mc[TestName],cha_mc[TestValue],"")</f>
        <v/>
      </c>
      <c r="AW72" s="30"/>
      <c r="AX72" s="30"/>
      <c r="AY72" s="30"/>
      <c r="AZ72" s="30"/>
      <c r="BA72" s="30"/>
    </row>
    <row r="73" spans="1:53" x14ac:dyDescent="0.3">
      <c r="A73" s="4" t="str">
        <f t="shared" si="6"/>
        <v>74X97M1000031</v>
      </c>
      <c r="B73" s="4" t="str">
        <f t="shared" si="7"/>
        <v>1-1</v>
      </c>
      <c r="C73" s="4">
        <v>1</v>
      </c>
      <c r="D73" s="4">
        <v>69</v>
      </c>
      <c r="E73" s="4" t="str" cm="1">
        <f t="array" ref="E73">_xlfn.XLOOKUP(A73&amp;B73&amp;$E$1&amp;"DPMB_SOCKET0__COMPUTE"&amp;C73&amp;"__CPU__CORE"&amp;Check!D73&amp;"__ML2_CR_MC3_STATUS"&amp;$B$1,core_mc[VisualId]&amp;core_mc[PPVRun_MC]&amp;core_mc[Lot]&amp;core_mc[TestNameWithoutNumeric],core_mc[TestValue],"")</f>
        <v/>
      </c>
      <c r="F73" s="4">
        <v>69</v>
      </c>
      <c r="G73" s="4" t="str" cm="1">
        <f t="array" ref="G73">_xlfn.XLOOKUP(A73&amp;B73&amp;$E$1&amp;"DPMB_SOCKET0__COMPUTE"&amp;C73&amp;"__UNCORE__CHA__CHA"&amp;Check!F73&amp;"__UTIL__MC_STATUS"&amp;$B$1,cha_mc[VisualId]&amp;cha_mc[PPVRun_MC]&amp;cha_mc[Lot]&amp;cha_mc[TestNameWithoutNumeric],cha_mc[TestValue],"")</f>
        <v/>
      </c>
      <c r="H73" s="4" t="str">
        <f t="shared" si="8"/>
        <v/>
      </c>
      <c r="AK73" s="4" t="str">
        <f t="shared" si="9"/>
        <v/>
      </c>
      <c r="AL73" s="4"/>
      <c r="AM73" s="4" t="str">
        <f t="shared" si="10"/>
        <v/>
      </c>
      <c r="AN73" s="4" t="str">
        <f>IFERROR(_xlfn.XLOOKUP(HEX2DEC(MID(AM73,LEN(AM73)-7,4)),mscod[MSCOD_BY_VAL],mscod[Description],""),"")</f>
        <v/>
      </c>
      <c r="AO73" s="4" t="str" cm="1">
        <f t="array" ref="AO73">_xlfn.XLOOKUP($K$1&amp;$Q$1&amp;"DPMB_SOCKET0__COMPUTE"&amp;AK73&amp;"__UNCORE__CHA__CHA"&amp;AL73&amp;"__UTIL__MC_ADDR"&amp;$B$1,cha_mc[VisualId]&amp;cha_mc[UnitTestingSeqKey]&amp;cha_mc[TestName],cha_mc[TestValue],"")</f>
        <v/>
      </c>
      <c r="AP73" s="4" t="str" cm="1">
        <f t="array" ref="AP73">_xlfn.XLOOKUP($K$1&amp;$Q$1&amp;"DPMB_SOCKET0__COMPUTE"&amp;AK73&amp;"__UNCORE__CHA__CHA"&amp;AL73&amp;"__UTIL__MC_MISC"&amp;$B$1,cha_mc[VisualId]&amp;cha_mc[UnitTestingSeqKey]&amp;cha_mc[TestName],cha_mc[TestValue],"")</f>
        <v/>
      </c>
      <c r="AQ73" s="30"/>
      <c r="AR73" s="30"/>
      <c r="AS73" s="30"/>
      <c r="AT73" s="30"/>
      <c r="AU73" s="30"/>
      <c r="AV73" s="4" t="str" cm="1">
        <f t="array" ref="AV73">_xlfn.XLOOKUP($K$1&amp;$Q$1&amp;"DPMB_SOCKET0__COMPUTE"&amp;AK73&amp;"__UNCORE__CHA__CHA"&amp;AL73&amp;"__UTIL__MC_MISC3"&amp;$B$1,cha_mc[VisualId]&amp;cha_mc[UnitTestingSeqKey]&amp;cha_mc[TestName],cha_mc[TestValue],"")</f>
        <v/>
      </c>
      <c r="AW73" s="30"/>
      <c r="AX73" s="30"/>
      <c r="AY73" s="30"/>
      <c r="AZ73" s="30"/>
      <c r="BA73" s="30"/>
    </row>
    <row r="74" spans="1:53" x14ac:dyDescent="0.3">
      <c r="A74" s="4" t="str">
        <f t="shared" si="6"/>
        <v>74X97M1000031</v>
      </c>
      <c r="B74" s="4" t="str">
        <f t="shared" si="7"/>
        <v>1-1</v>
      </c>
      <c r="C74" s="4">
        <v>1</v>
      </c>
      <c r="D74" s="4">
        <v>70</v>
      </c>
      <c r="E74" s="4" t="str" cm="1">
        <f t="array" ref="E74">_xlfn.XLOOKUP(A74&amp;B74&amp;$E$1&amp;"DPMB_SOCKET0__COMPUTE"&amp;C74&amp;"__CPU__CORE"&amp;Check!D74&amp;"__ML2_CR_MC3_STATUS"&amp;$B$1,core_mc[VisualId]&amp;core_mc[PPVRun_MC]&amp;core_mc[Lot]&amp;core_mc[TestNameWithoutNumeric],core_mc[TestValue],"")</f>
        <v/>
      </c>
      <c r="F74" s="4">
        <v>70</v>
      </c>
      <c r="G74" s="4" t="str" cm="1">
        <f t="array" ref="G74">_xlfn.XLOOKUP(A74&amp;B74&amp;$E$1&amp;"DPMB_SOCKET0__COMPUTE"&amp;C74&amp;"__UNCORE__CHA__CHA"&amp;Check!F74&amp;"__UTIL__MC_STATUS"&amp;$B$1,cha_mc[VisualId]&amp;cha_mc[PPVRun_MC]&amp;cha_mc[Lot]&amp;cha_mc[TestNameWithoutNumeric],cha_mc[TestValue],"")</f>
        <v/>
      </c>
      <c r="H74" s="4" t="str">
        <f t="shared" si="8"/>
        <v/>
      </c>
      <c r="AK74" s="4" t="str">
        <f t="shared" si="9"/>
        <v/>
      </c>
      <c r="AL74" s="4"/>
      <c r="AM74" s="4" t="str">
        <f t="shared" si="10"/>
        <v/>
      </c>
      <c r="AN74" s="4" t="str">
        <f>IFERROR(_xlfn.XLOOKUP(HEX2DEC(MID(AM74,LEN(AM74)-7,4)),mscod[MSCOD_BY_VAL],mscod[Description],""),"")</f>
        <v/>
      </c>
      <c r="AO74" s="4" t="str" cm="1">
        <f t="array" ref="AO74">_xlfn.XLOOKUP($K$1&amp;$Q$1&amp;"DPMB_SOCKET0__COMPUTE"&amp;AK74&amp;"__UNCORE__CHA__CHA"&amp;AL74&amp;"__UTIL__MC_ADDR"&amp;$B$1,cha_mc[VisualId]&amp;cha_mc[UnitTestingSeqKey]&amp;cha_mc[TestName],cha_mc[TestValue],"")</f>
        <v/>
      </c>
      <c r="AP74" s="4" t="str" cm="1">
        <f t="array" ref="AP74">_xlfn.XLOOKUP($K$1&amp;$Q$1&amp;"DPMB_SOCKET0__COMPUTE"&amp;AK74&amp;"__UNCORE__CHA__CHA"&amp;AL74&amp;"__UTIL__MC_MISC"&amp;$B$1,cha_mc[VisualId]&amp;cha_mc[UnitTestingSeqKey]&amp;cha_mc[TestName],cha_mc[TestValue],"")</f>
        <v/>
      </c>
      <c r="AQ74" s="30"/>
      <c r="AR74" s="30"/>
      <c r="AS74" s="30"/>
      <c r="AT74" s="30"/>
      <c r="AU74" s="30"/>
      <c r="AV74" s="4" t="str" cm="1">
        <f t="array" ref="AV74">_xlfn.XLOOKUP($K$1&amp;$Q$1&amp;"DPMB_SOCKET0__COMPUTE"&amp;AK74&amp;"__UNCORE__CHA__CHA"&amp;AL74&amp;"__UTIL__MC_MISC3"&amp;$B$1,cha_mc[VisualId]&amp;cha_mc[UnitTestingSeqKey]&amp;cha_mc[TestName],cha_mc[TestValue],"")</f>
        <v/>
      </c>
      <c r="AW74" s="30"/>
      <c r="AX74" s="30"/>
      <c r="AY74" s="30"/>
      <c r="AZ74" s="30"/>
      <c r="BA74" s="30"/>
    </row>
    <row r="75" spans="1:53" x14ac:dyDescent="0.3">
      <c r="A75" s="4" t="str">
        <f t="shared" si="6"/>
        <v>74X97M1000031</v>
      </c>
      <c r="B75" s="4" t="str">
        <f t="shared" si="7"/>
        <v>1-1</v>
      </c>
      <c r="C75" s="4">
        <v>1</v>
      </c>
      <c r="D75" s="4">
        <v>71</v>
      </c>
      <c r="E75" s="4" t="str" cm="1">
        <f t="array" ref="E75">_xlfn.XLOOKUP(A75&amp;B75&amp;$E$1&amp;"DPMB_SOCKET0__COMPUTE"&amp;C75&amp;"__CPU__CORE"&amp;Check!D75&amp;"__ML2_CR_MC3_STATUS"&amp;$B$1,core_mc[VisualId]&amp;core_mc[PPVRun_MC]&amp;core_mc[Lot]&amp;core_mc[TestNameWithoutNumeric],core_mc[TestValue],"")</f>
        <v/>
      </c>
      <c r="F75" s="4">
        <v>71</v>
      </c>
      <c r="G75" s="4" t="str" cm="1">
        <f t="array" ref="G75">_xlfn.XLOOKUP(A75&amp;B75&amp;$E$1&amp;"DPMB_SOCKET0__COMPUTE"&amp;C75&amp;"__UNCORE__CHA__CHA"&amp;Check!F75&amp;"__UTIL__MC_STATUS"&amp;$B$1,cha_mc[VisualId]&amp;cha_mc[PPVRun_MC]&amp;cha_mc[Lot]&amp;cha_mc[TestNameWithoutNumeric],cha_mc[TestValue],"")</f>
        <v/>
      </c>
      <c r="H75" s="4" t="str">
        <f t="shared" si="8"/>
        <v/>
      </c>
      <c r="AK75" s="4" t="str">
        <f t="shared" si="9"/>
        <v/>
      </c>
      <c r="AL75" s="4"/>
      <c r="AM75" s="4" t="str">
        <f t="shared" si="10"/>
        <v/>
      </c>
      <c r="AN75" s="4" t="str">
        <f>IFERROR(_xlfn.XLOOKUP(HEX2DEC(MID(AM75,LEN(AM75)-7,4)),mscod[MSCOD_BY_VAL],mscod[Description],""),"")</f>
        <v/>
      </c>
      <c r="AO75" s="4" t="str" cm="1">
        <f t="array" ref="AO75">_xlfn.XLOOKUP($K$1&amp;$Q$1&amp;"DPMB_SOCKET0__COMPUTE"&amp;AK75&amp;"__UNCORE__CHA__CHA"&amp;AL75&amp;"__UTIL__MC_ADDR"&amp;$B$1,cha_mc[VisualId]&amp;cha_mc[UnitTestingSeqKey]&amp;cha_mc[TestName],cha_mc[TestValue],"")</f>
        <v/>
      </c>
      <c r="AP75" s="4" t="str" cm="1">
        <f t="array" ref="AP75">_xlfn.XLOOKUP($K$1&amp;$Q$1&amp;"DPMB_SOCKET0__COMPUTE"&amp;AK75&amp;"__UNCORE__CHA__CHA"&amp;AL75&amp;"__UTIL__MC_MISC"&amp;$B$1,cha_mc[VisualId]&amp;cha_mc[UnitTestingSeqKey]&amp;cha_mc[TestName],cha_mc[TestValue],"")</f>
        <v/>
      </c>
      <c r="AQ75" s="30"/>
      <c r="AR75" s="30"/>
      <c r="AS75" s="30"/>
      <c r="AT75" s="30"/>
      <c r="AU75" s="30"/>
      <c r="AV75" s="4" t="str" cm="1">
        <f t="array" ref="AV75">_xlfn.XLOOKUP($K$1&amp;$Q$1&amp;"DPMB_SOCKET0__COMPUTE"&amp;AK75&amp;"__UNCORE__CHA__CHA"&amp;AL75&amp;"__UTIL__MC_MISC3"&amp;$B$1,cha_mc[VisualId]&amp;cha_mc[UnitTestingSeqKey]&amp;cha_mc[TestName],cha_mc[TestValue],"")</f>
        <v/>
      </c>
      <c r="AW75" s="30"/>
      <c r="AX75" s="30"/>
      <c r="AY75" s="30"/>
      <c r="AZ75" s="30"/>
      <c r="BA75" s="30"/>
    </row>
    <row r="76" spans="1:53" x14ac:dyDescent="0.3">
      <c r="A76" s="4" t="str">
        <f t="shared" si="6"/>
        <v>74X97M1000031</v>
      </c>
      <c r="B76" s="4" t="str">
        <f t="shared" si="7"/>
        <v>1-1</v>
      </c>
      <c r="C76" s="4">
        <v>1</v>
      </c>
      <c r="D76" s="4">
        <v>72</v>
      </c>
      <c r="E76" s="4" t="str" cm="1">
        <f t="array" ref="E76">_xlfn.XLOOKUP(A76&amp;B76&amp;$E$1&amp;"DPMB_SOCKET0__COMPUTE"&amp;C76&amp;"__CPU__CORE"&amp;Check!D76&amp;"__ML2_CR_MC3_STATUS"&amp;$B$1,core_mc[VisualId]&amp;core_mc[PPVRun_MC]&amp;core_mc[Lot]&amp;core_mc[TestNameWithoutNumeric],core_mc[TestValue],"")</f>
        <v/>
      </c>
      <c r="F76" s="4">
        <v>72</v>
      </c>
      <c r="G76" s="4" t="str" cm="1">
        <f t="array" ref="G76">_xlfn.XLOOKUP(A76&amp;B76&amp;$E$1&amp;"DPMB_SOCKET0__COMPUTE"&amp;C76&amp;"__UNCORE__CHA__CHA"&amp;Check!F76&amp;"__UTIL__MC_STATUS"&amp;$B$1,cha_mc[VisualId]&amp;cha_mc[PPVRun_MC]&amp;cha_mc[Lot]&amp;cha_mc[TestNameWithoutNumeric],cha_mc[TestValue],"")</f>
        <v/>
      </c>
      <c r="H76" s="4" t="str">
        <f t="shared" si="8"/>
        <v/>
      </c>
      <c r="AK76" s="4" t="str">
        <f t="shared" si="9"/>
        <v/>
      </c>
      <c r="AL76" s="4"/>
      <c r="AM76" s="4" t="str">
        <f t="shared" si="10"/>
        <v/>
      </c>
      <c r="AN76" s="4" t="str">
        <f>IFERROR(_xlfn.XLOOKUP(HEX2DEC(MID(AM76,LEN(AM76)-7,4)),mscod[MSCOD_BY_VAL],mscod[Description],""),"")</f>
        <v/>
      </c>
      <c r="AO76" s="4" t="str" cm="1">
        <f t="array" ref="AO76">_xlfn.XLOOKUP($K$1&amp;$Q$1&amp;"DPMB_SOCKET0__COMPUTE"&amp;AK76&amp;"__UNCORE__CHA__CHA"&amp;AL76&amp;"__UTIL__MC_ADDR"&amp;$B$1,cha_mc[VisualId]&amp;cha_mc[UnitTestingSeqKey]&amp;cha_mc[TestName],cha_mc[TestValue],"")</f>
        <v/>
      </c>
      <c r="AP76" s="4" t="str" cm="1">
        <f t="array" ref="AP76">_xlfn.XLOOKUP($K$1&amp;$Q$1&amp;"DPMB_SOCKET0__COMPUTE"&amp;AK76&amp;"__UNCORE__CHA__CHA"&amp;AL76&amp;"__UTIL__MC_MISC"&amp;$B$1,cha_mc[VisualId]&amp;cha_mc[UnitTestingSeqKey]&amp;cha_mc[TestName],cha_mc[TestValue],"")</f>
        <v/>
      </c>
      <c r="AQ76" s="30"/>
      <c r="AR76" s="30"/>
      <c r="AS76" s="30"/>
      <c r="AT76" s="30"/>
      <c r="AU76" s="30"/>
      <c r="AV76" s="4" t="str" cm="1">
        <f t="array" ref="AV76">_xlfn.XLOOKUP($K$1&amp;$Q$1&amp;"DPMB_SOCKET0__COMPUTE"&amp;AK76&amp;"__UNCORE__CHA__CHA"&amp;AL76&amp;"__UTIL__MC_MISC3"&amp;$B$1,cha_mc[VisualId]&amp;cha_mc[UnitTestingSeqKey]&amp;cha_mc[TestName],cha_mc[TestValue],"")</f>
        <v/>
      </c>
      <c r="AW76" s="30"/>
      <c r="AX76" s="30"/>
      <c r="AY76" s="30"/>
      <c r="AZ76" s="30"/>
      <c r="BA76" s="30"/>
    </row>
    <row r="77" spans="1:53" x14ac:dyDescent="0.3">
      <c r="A77" s="4" t="str">
        <f t="shared" si="6"/>
        <v>74X97M1000031</v>
      </c>
      <c r="B77" s="4" t="str">
        <f t="shared" si="7"/>
        <v>1-1</v>
      </c>
      <c r="C77" s="4">
        <v>1</v>
      </c>
      <c r="D77" s="4">
        <v>73</v>
      </c>
      <c r="E77" s="4" t="str" cm="1">
        <f t="array" ref="E77">_xlfn.XLOOKUP(A77&amp;B77&amp;$E$1&amp;"DPMB_SOCKET0__COMPUTE"&amp;C77&amp;"__CPU__CORE"&amp;Check!D77&amp;"__ML2_CR_MC3_STATUS"&amp;$B$1,core_mc[VisualId]&amp;core_mc[PPVRun_MC]&amp;core_mc[Lot]&amp;core_mc[TestNameWithoutNumeric],core_mc[TestValue],"")</f>
        <v/>
      </c>
      <c r="F77" s="4">
        <v>73</v>
      </c>
      <c r="G77" s="4" t="str" cm="1">
        <f t="array" ref="G77">_xlfn.XLOOKUP(A77&amp;B77&amp;$E$1&amp;"DPMB_SOCKET0__COMPUTE"&amp;C77&amp;"__UNCORE__CHA__CHA"&amp;Check!F77&amp;"__UTIL__MC_STATUS"&amp;$B$1,cha_mc[VisualId]&amp;cha_mc[PPVRun_MC]&amp;cha_mc[Lot]&amp;cha_mc[TestNameWithoutNumeric],cha_mc[TestValue],"")</f>
        <v/>
      </c>
      <c r="H77" s="4" t="str">
        <f t="shared" si="8"/>
        <v/>
      </c>
      <c r="AK77" s="4" t="str">
        <f t="shared" si="9"/>
        <v/>
      </c>
      <c r="AL77" s="4"/>
      <c r="AM77" s="4" t="str">
        <f t="shared" si="10"/>
        <v/>
      </c>
      <c r="AN77" s="4" t="str">
        <f>IFERROR(_xlfn.XLOOKUP(HEX2DEC(MID(AM77,LEN(AM77)-7,4)),mscod[MSCOD_BY_VAL],mscod[Description],""),"")</f>
        <v/>
      </c>
      <c r="AO77" s="4" t="str" cm="1">
        <f t="array" ref="AO77">_xlfn.XLOOKUP($K$1&amp;$Q$1&amp;"DPMB_SOCKET0__COMPUTE"&amp;AK77&amp;"__UNCORE__CHA__CHA"&amp;AL77&amp;"__UTIL__MC_ADDR"&amp;$B$1,cha_mc[VisualId]&amp;cha_mc[UnitTestingSeqKey]&amp;cha_mc[TestName],cha_mc[TestValue],"")</f>
        <v/>
      </c>
      <c r="AP77" s="4" t="str" cm="1">
        <f t="array" ref="AP77">_xlfn.XLOOKUP($K$1&amp;$Q$1&amp;"DPMB_SOCKET0__COMPUTE"&amp;AK77&amp;"__UNCORE__CHA__CHA"&amp;AL77&amp;"__UTIL__MC_MISC"&amp;$B$1,cha_mc[VisualId]&amp;cha_mc[UnitTestingSeqKey]&amp;cha_mc[TestName],cha_mc[TestValue],"")</f>
        <v/>
      </c>
      <c r="AQ77" s="30"/>
      <c r="AR77" s="30"/>
      <c r="AS77" s="30"/>
      <c r="AT77" s="30"/>
      <c r="AU77" s="30"/>
      <c r="AV77" s="4" t="str" cm="1">
        <f t="array" ref="AV77">_xlfn.XLOOKUP($K$1&amp;$Q$1&amp;"DPMB_SOCKET0__COMPUTE"&amp;AK77&amp;"__UNCORE__CHA__CHA"&amp;AL77&amp;"__UTIL__MC_MISC3"&amp;$B$1,cha_mc[VisualId]&amp;cha_mc[UnitTestingSeqKey]&amp;cha_mc[TestName],cha_mc[TestValue],"")</f>
        <v/>
      </c>
      <c r="AW77" s="30"/>
      <c r="AX77" s="30"/>
      <c r="AY77" s="30"/>
      <c r="AZ77" s="30"/>
      <c r="BA77" s="30"/>
    </row>
    <row r="78" spans="1:53" x14ac:dyDescent="0.3">
      <c r="A78" s="4" t="str">
        <f t="shared" si="6"/>
        <v>74X97M1000031</v>
      </c>
      <c r="B78" s="4" t="str">
        <f t="shared" si="7"/>
        <v>1-1</v>
      </c>
      <c r="C78" s="4">
        <v>1</v>
      </c>
      <c r="D78" s="4">
        <v>74</v>
      </c>
      <c r="E78" s="4" t="str" cm="1">
        <f t="array" ref="E78">_xlfn.XLOOKUP(A78&amp;B78&amp;$E$1&amp;"DPMB_SOCKET0__COMPUTE"&amp;C78&amp;"__CPU__CORE"&amp;Check!D78&amp;"__ML2_CR_MC3_STATUS"&amp;$B$1,core_mc[VisualId]&amp;core_mc[PPVRun_MC]&amp;core_mc[Lot]&amp;core_mc[TestNameWithoutNumeric],core_mc[TestValue],"")</f>
        <v/>
      </c>
      <c r="F78" s="4">
        <v>74</v>
      </c>
      <c r="G78" s="4" t="str" cm="1">
        <f t="array" ref="G78">_xlfn.XLOOKUP(A78&amp;B78&amp;$E$1&amp;"DPMB_SOCKET0__COMPUTE"&amp;C78&amp;"__UNCORE__CHA__CHA"&amp;Check!F78&amp;"__UTIL__MC_STATUS"&amp;$B$1,cha_mc[VisualId]&amp;cha_mc[PPVRun_MC]&amp;cha_mc[Lot]&amp;cha_mc[TestNameWithoutNumeric],cha_mc[TestValue],"")</f>
        <v/>
      </c>
      <c r="H78" s="4" t="str">
        <f t="shared" si="8"/>
        <v/>
      </c>
      <c r="AK78" s="4" t="str">
        <f t="shared" si="9"/>
        <v/>
      </c>
      <c r="AL78" s="4"/>
      <c r="AM78" s="4" t="str">
        <f t="shared" si="10"/>
        <v/>
      </c>
      <c r="AN78" s="4" t="str">
        <f>IFERROR(_xlfn.XLOOKUP(HEX2DEC(MID(AM78,LEN(AM78)-7,4)),mscod[MSCOD_BY_VAL],mscod[Description],""),"")</f>
        <v/>
      </c>
      <c r="AO78" s="4" t="str" cm="1">
        <f t="array" ref="AO78">_xlfn.XLOOKUP($K$1&amp;$Q$1&amp;"DPMB_SOCKET0__COMPUTE"&amp;AK78&amp;"__UNCORE__CHA__CHA"&amp;AL78&amp;"__UTIL__MC_ADDR"&amp;$B$1,cha_mc[VisualId]&amp;cha_mc[UnitTestingSeqKey]&amp;cha_mc[TestName],cha_mc[TestValue],"")</f>
        <v/>
      </c>
      <c r="AP78" s="4" t="str" cm="1">
        <f t="array" ref="AP78">_xlfn.XLOOKUP($K$1&amp;$Q$1&amp;"DPMB_SOCKET0__COMPUTE"&amp;AK78&amp;"__UNCORE__CHA__CHA"&amp;AL78&amp;"__UTIL__MC_MISC"&amp;$B$1,cha_mc[VisualId]&amp;cha_mc[UnitTestingSeqKey]&amp;cha_mc[TestName],cha_mc[TestValue],"")</f>
        <v/>
      </c>
      <c r="AQ78" s="30"/>
      <c r="AR78" s="30"/>
      <c r="AS78" s="30"/>
      <c r="AT78" s="30"/>
      <c r="AU78" s="30"/>
      <c r="AV78" s="4" t="str" cm="1">
        <f t="array" ref="AV78">_xlfn.XLOOKUP($K$1&amp;$Q$1&amp;"DPMB_SOCKET0__COMPUTE"&amp;AK78&amp;"__UNCORE__CHA__CHA"&amp;AL78&amp;"__UTIL__MC_MISC3"&amp;$B$1,cha_mc[VisualId]&amp;cha_mc[UnitTestingSeqKey]&amp;cha_mc[TestName],cha_mc[TestValue],"")</f>
        <v/>
      </c>
      <c r="AW78" s="30"/>
      <c r="AX78" s="30"/>
      <c r="AY78" s="30"/>
      <c r="AZ78" s="30"/>
      <c r="BA78" s="30"/>
    </row>
    <row r="79" spans="1:53" x14ac:dyDescent="0.3">
      <c r="A79" s="4" t="str">
        <f t="shared" si="6"/>
        <v>74X97M1000031</v>
      </c>
      <c r="B79" s="4" t="str">
        <f t="shared" si="7"/>
        <v>1-1</v>
      </c>
      <c r="C79" s="4">
        <v>1</v>
      </c>
      <c r="D79" s="4">
        <v>75</v>
      </c>
      <c r="E79" s="4" t="str" cm="1">
        <f t="array" ref="E79">_xlfn.XLOOKUP(A79&amp;B79&amp;$E$1&amp;"DPMB_SOCKET0__COMPUTE"&amp;C79&amp;"__CPU__CORE"&amp;Check!D79&amp;"__ML2_CR_MC3_STATUS"&amp;$B$1,core_mc[VisualId]&amp;core_mc[PPVRun_MC]&amp;core_mc[Lot]&amp;core_mc[TestNameWithoutNumeric],core_mc[TestValue],"")</f>
        <v/>
      </c>
      <c r="F79" s="4">
        <v>75</v>
      </c>
      <c r="G79" s="4" t="str" cm="1">
        <f t="array" ref="G79">_xlfn.XLOOKUP(A79&amp;B79&amp;$E$1&amp;"DPMB_SOCKET0__COMPUTE"&amp;C79&amp;"__UNCORE__CHA__CHA"&amp;Check!F79&amp;"__UTIL__MC_STATUS"&amp;$B$1,cha_mc[VisualId]&amp;cha_mc[PPVRun_MC]&amp;cha_mc[Lot]&amp;cha_mc[TestNameWithoutNumeric],cha_mc[TestValue],"")</f>
        <v/>
      </c>
      <c r="H79" s="4" t="str">
        <f t="shared" si="8"/>
        <v/>
      </c>
      <c r="AK79" s="4" t="str">
        <f t="shared" si="9"/>
        <v/>
      </c>
      <c r="AL79" s="4"/>
      <c r="AM79" s="4" t="str">
        <f t="shared" si="10"/>
        <v/>
      </c>
      <c r="AN79" s="4" t="str">
        <f>IFERROR(_xlfn.XLOOKUP(HEX2DEC(MID(AM79,LEN(AM79)-7,4)),mscod[MSCOD_BY_VAL],mscod[Description],""),"")</f>
        <v/>
      </c>
      <c r="AO79" s="4" t="str" cm="1">
        <f t="array" ref="AO79">_xlfn.XLOOKUP($K$1&amp;$Q$1&amp;"DPMB_SOCKET0__COMPUTE"&amp;AK79&amp;"__UNCORE__CHA__CHA"&amp;AL79&amp;"__UTIL__MC_ADDR"&amp;$B$1,cha_mc[VisualId]&amp;cha_mc[UnitTestingSeqKey]&amp;cha_mc[TestName],cha_mc[TestValue],"")</f>
        <v/>
      </c>
      <c r="AP79" s="4" t="str" cm="1">
        <f t="array" ref="AP79">_xlfn.XLOOKUP($K$1&amp;$Q$1&amp;"DPMB_SOCKET0__COMPUTE"&amp;AK79&amp;"__UNCORE__CHA__CHA"&amp;AL79&amp;"__UTIL__MC_MISC"&amp;$B$1,cha_mc[VisualId]&amp;cha_mc[UnitTestingSeqKey]&amp;cha_mc[TestName],cha_mc[TestValue],"")</f>
        <v/>
      </c>
      <c r="AQ79" s="30"/>
      <c r="AR79" s="30"/>
      <c r="AS79" s="30"/>
      <c r="AT79" s="30"/>
      <c r="AU79" s="30"/>
      <c r="AV79" s="4" t="str" cm="1">
        <f t="array" ref="AV79">_xlfn.XLOOKUP($K$1&amp;$Q$1&amp;"DPMB_SOCKET0__COMPUTE"&amp;AK79&amp;"__UNCORE__CHA__CHA"&amp;AL79&amp;"__UTIL__MC_MISC3"&amp;$B$1,cha_mc[VisualId]&amp;cha_mc[UnitTestingSeqKey]&amp;cha_mc[TestName],cha_mc[TestValue],"")</f>
        <v/>
      </c>
      <c r="AW79" s="30"/>
      <c r="AX79" s="30"/>
      <c r="AY79" s="30"/>
      <c r="AZ79" s="30"/>
      <c r="BA79" s="30"/>
    </row>
    <row r="80" spans="1:53" x14ac:dyDescent="0.3">
      <c r="A80" s="4" t="str">
        <f t="shared" si="6"/>
        <v>74X97M1000031</v>
      </c>
      <c r="B80" s="4" t="str">
        <f t="shared" si="7"/>
        <v>1-1</v>
      </c>
      <c r="C80" s="4">
        <v>1</v>
      </c>
      <c r="D80" s="4">
        <v>76</v>
      </c>
      <c r="E80" s="4" t="str" cm="1">
        <f t="array" ref="E80">_xlfn.XLOOKUP(A80&amp;B80&amp;$E$1&amp;"DPMB_SOCKET0__COMPUTE"&amp;C80&amp;"__CPU__CORE"&amp;Check!D80&amp;"__ML2_CR_MC3_STATUS"&amp;$B$1,core_mc[VisualId]&amp;core_mc[PPVRun_MC]&amp;core_mc[Lot]&amp;core_mc[TestNameWithoutNumeric],core_mc[TestValue],"")</f>
        <v/>
      </c>
      <c r="F80" s="4">
        <v>76</v>
      </c>
      <c r="G80" s="4" t="str" cm="1">
        <f t="array" ref="G80">_xlfn.XLOOKUP(A80&amp;B80&amp;$E$1&amp;"DPMB_SOCKET0__COMPUTE"&amp;C80&amp;"__UNCORE__CHA__CHA"&amp;Check!F80&amp;"__UTIL__MC_STATUS"&amp;$B$1,cha_mc[VisualId]&amp;cha_mc[PPVRun_MC]&amp;cha_mc[Lot]&amp;cha_mc[TestNameWithoutNumeric],cha_mc[TestValue],"")</f>
        <v/>
      </c>
      <c r="H80" s="4" t="str">
        <f t="shared" si="8"/>
        <v/>
      </c>
      <c r="AK80" s="4" t="str">
        <f t="shared" si="9"/>
        <v/>
      </c>
      <c r="AL80" s="4"/>
      <c r="AM80" s="4" t="str">
        <f t="shared" si="10"/>
        <v/>
      </c>
      <c r="AN80" s="4" t="str">
        <f>IFERROR(_xlfn.XLOOKUP(HEX2DEC(MID(AM80,LEN(AM80)-7,4)),mscod[MSCOD_BY_VAL],mscod[Description],""),"")</f>
        <v/>
      </c>
      <c r="AO80" s="4" t="str" cm="1">
        <f t="array" ref="AO80">_xlfn.XLOOKUP($K$1&amp;$Q$1&amp;"DPMB_SOCKET0__COMPUTE"&amp;AK80&amp;"__UNCORE__CHA__CHA"&amp;AL80&amp;"__UTIL__MC_ADDR"&amp;$B$1,cha_mc[VisualId]&amp;cha_mc[UnitTestingSeqKey]&amp;cha_mc[TestName],cha_mc[TestValue],"")</f>
        <v/>
      </c>
      <c r="AP80" s="4" t="str" cm="1">
        <f t="array" ref="AP80">_xlfn.XLOOKUP($K$1&amp;$Q$1&amp;"DPMB_SOCKET0__COMPUTE"&amp;AK80&amp;"__UNCORE__CHA__CHA"&amp;AL80&amp;"__UTIL__MC_MISC"&amp;$B$1,cha_mc[VisualId]&amp;cha_mc[UnitTestingSeqKey]&amp;cha_mc[TestName],cha_mc[TestValue],"")</f>
        <v/>
      </c>
      <c r="AQ80" s="30"/>
      <c r="AR80" s="30"/>
      <c r="AS80" s="30"/>
      <c r="AT80" s="30"/>
      <c r="AU80" s="30"/>
      <c r="AV80" s="4" t="str" cm="1">
        <f t="array" ref="AV80">_xlfn.XLOOKUP($K$1&amp;$Q$1&amp;"DPMB_SOCKET0__COMPUTE"&amp;AK80&amp;"__UNCORE__CHA__CHA"&amp;AL80&amp;"__UTIL__MC_MISC3"&amp;$B$1,cha_mc[VisualId]&amp;cha_mc[UnitTestingSeqKey]&amp;cha_mc[TestName],cha_mc[TestValue],"")</f>
        <v/>
      </c>
      <c r="AW80" s="30"/>
      <c r="AX80" s="30"/>
      <c r="AY80" s="30"/>
      <c r="AZ80" s="30"/>
      <c r="BA80" s="30"/>
    </row>
    <row r="81" spans="1:53" x14ac:dyDescent="0.3">
      <c r="A81" s="4" t="str">
        <f t="shared" si="6"/>
        <v>74X97M1000031</v>
      </c>
      <c r="B81" s="4" t="str">
        <f t="shared" si="7"/>
        <v>1-1</v>
      </c>
      <c r="C81" s="4">
        <v>1</v>
      </c>
      <c r="D81" s="4">
        <v>77</v>
      </c>
      <c r="E81" s="4" t="str" cm="1">
        <f t="array" ref="E81">_xlfn.XLOOKUP(A81&amp;B81&amp;$E$1&amp;"DPMB_SOCKET0__COMPUTE"&amp;C81&amp;"__CPU__CORE"&amp;Check!D81&amp;"__ML2_CR_MC3_STATUS"&amp;$B$1,core_mc[VisualId]&amp;core_mc[PPVRun_MC]&amp;core_mc[Lot]&amp;core_mc[TestNameWithoutNumeric],core_mc[TestValue],"")</f>
        <v/>
      </c>
      <c r="F81" s="4">
        <v>77</v>
      </c>
      <c r="G81" s="4" t="str" cm="1">
        <f t="array" ref="G81">_xlfn.XLOOKUP(A81&amp;B81&amp;$E$1&amp;"DPMB_SOCKET0__COMPUTE"&amp;C81&amp;"__UNCORE__CHA__CHA"&amp;Check!F81&amp;"__UTIL__MC_STATUS"&amp;$B$1,cha_mc[VisualId]&amp;cha_mc[PPVRun_MC]&amp;cha_mc[Lot]&amp;cha_mc[TestNameWithoutNumeric],cha_mc[TestValue],"")</f>
        <v/>
      </c>
      <c r="H81" s="4" t="str">
        <f t="shared" si="8"/>
        <v/>
      </c>
      <c r="AK81" s="4" t="str">
        <f t="shared" si="9"/>
        <v/>
      </c>
      <c r="AL81" s="4"/>
      <c r="AM81" s="4" t="str">
        <f t="shared" si="10"/>
        <v/>
      </c>
      <c r="AN81" s="4" t="str">
        <f>IFERROR(_xlfn.XLOOKUP(HEX2DEC(MID(AM81,LEN(AM81)-7,4)),mscod[MSCOD_BY_VAL],mscod[Description],""),"")</f>
        <v/>
      </c>
      <c r="AO81" s="4" t="str" cm="1">
        <f t="array" ref="AO81">_xlfn.XLOOKUP($K$1&amp;$Q$1&amp;"DPMB_SOCKET0__COMPUTE"&amp;AK81&amp;"__UNCORE__CHA__CHA"&amp;AL81&amp;"__UTIL__MC_ADDR"&amp;$B$1,cha_mc[VisualId]&amp;cha_mc[UnitTestingSeqKey]&amp;cha_mc[TestName],cha_mc[TestValue],"")</f>
        <v/>
      </c>
      <c r="AP81" s="4" t="str" cm="1">
        <f t="array" ref="AP81">_xlfn.XLOOKUP($K$1&amp;$Q$1&amp;"DPMB_SOCKET0__COMPUTE"&amp;AK81&amp;"__UNCORE__CHA__CHA"&amp;AL81&amp;"__UTIL__MC_MISC"&amp;$B$1,cha_mc[VisualId]&amp;cha_mc[UnitTestingSeqKey]&amp;cha_mc[TestName],cha_mc[TestValue],"")</f>
        <v/>
      </c>
      <c r="AQ81" s="30"/>
      <c r="AR81" s="30"/>
      <c r="AS81" s="30"/>
      <c r="AT81" s="30"/>
      <c r="AU81" s="30"/>
      <c r="AV81" s="4" t="str" cm="1">
        <f t="array" ref="AV81">_xlfn.XLOOKUP($K$1&amp;$Q$1&amp;"DPMB_SOCKET0__COMPUTE"&amp;AK81&amp;"__UNCORE__CHA__CHA"&amp;AL81&amp;"__UTIL__MC_MISC3"&amp;$B$1,cha_mc[VisualId]&amp;cha_mc[UnitTestingSeqKey]&amp;cha_mc[TestName],cha_mc[TestValue],"")</f>
        <v/>
      </c>
      <c r="AW81" s="30"/>
      <c r="AX81" s="30"/>
      <c r="AY81" s="30"/>
      <c r="AZ81" s="30"/>
      <c r="BA81" s="30"/>
    </row>
    <row r="82" spans="1:53" x14ac:dyDescent="0.3">
      <c r="A82" s="4" t="str">
        <f t="shared" si="6"/>
        <v>74X97M1000031</v>
      </c>
      <c r="B82" s="4" t="str">
        <f t="shared" si="7"/>
        <v>1-1</v>
      </c>
      <c r="C82" s="4">
        <v>1</v>
      </c>
      <c r="D82" s="4">
        <v>78</v>
      </c>
      <c r="E82" s="4" t="str" cm="1">
        <f t="array" ref="E82">_xlfn.XLOOKUP(A82&amp;B82&amp;$E$1&amp;"DPMB_SOCKET0__COMPUTE"&amp;C82&amp;"__CPU__CORE"&amp;Check!D82&amp;"__ML2_CR_MC3_STATUS"&amp;$B$1,core_mc[VisualId]&amp;core_mc[PPVRun_MC]&amp;core_mc[Lot]&amp;core_mc[TestNameWithoutNumeric],core_mc[TestValue],"")</f>
        <v/>
      </c>
      <c r="F82" s="4">
        <v>78</v>
      </c>
      <c r="G82" s="4" t="str" cm="1">
        <f t="array" ref="G82">_xlfn.XLOOKUP(A82&amp;B82&amp;$E$1&amp;"DPMB_SOCKET0__COMPUTE"&amp;C82&amp;"__UNCORE__CHA__CHA"&amp;Check!F82&amp;"__UTIL__MC_STATUS"&amp;$B$1,cha_mc[VisualId]&amp;cha_mc[PPVRun_MC]&amp;cha_mc[Lot]&amp;cha_mc[TestNameWithoutNumeric],cha_mc[TestValue],"")</f>
        <v/>
      </c>
      <c r="H82" s="4" t="str">
        <f t="shared" si="8"/>
        <v/>
      </c>
      <c r="AK82" s="4" t="str">
        <f t="shared" si="9"/>
        <v/>
      </c>
      <c r="AL82" s="4"/>
      <c r="AM82" s="4" t="str">
        <f t="shared" si="10"/>
        <v/>
      </c>
      <c r="AN82" s="4" t="str">
        <f>IFERROR(_xlfn.XLOOKUP(HEX2DEC(MID(AM82,LEN(AM82)-7,4)),mscod[MSCOD_BY_VAL],mscod[Description],""),"")</f>
        <v/>
      </c>
      <c r="AO82" s="4" t="str" cm="1">
        <f t="array" ref="AO82">_xlfn.XLOOKUP($K$1&amp;$Q$1&amp;"DPMB_SOCKET0__COMPUTE"&amp;AK82&amp;"__UNCORE__CHA__CHA"&amp;AL82&amp;"__UTIL__MC_ADDR"&amp;$B$1,cha_mc[VisualId]&amp;cha_mc[UnitTestingSeqKey]&amp;cha_mc[TestName],cha_mc[TestValue],"")</f>
        <v/>
      </c>
      <c r="AP82" s="4" t="str" cm="1">
        <f t="array" ref="AP82">_xlfn.XLOOKUP($K$1&amp;$Q$1&amp;"DPMB_SOCKET0__COMPUTE"&amp;AK82&amp;"__UNCORE__CHA__CHA"&amp;AL82&amp;"__UTIL__MC_MISC"&amp;$B$1,cha_mc[VisualId]&amp;cha_mc[UnitTestingSeqKey]&amp;cha_mc[TestName],cha_mc[TestValue],"")</f>
        <v/>
      </c>
      <c r="AQ82" s="30"/>
      <c r="AR82" s="30"/>
      <c r="AS82" s="30"/>
      <c r="AT82" s="30"/>
      <c r="AU82" s="30"/>
      <c r="AV82" s="4" t="str" cm="1">
        <f t="array" ref="AV82">_xlfn.XLOOKUP($K$1&amp;$Q$1&amp;"DPMB_SOCKET0__COMPUTE"&amp;AK82&amp;"__UNCORE__CHA__CHA"&amp;AL82&amp;"__UTIL__MC_MISC3"&amp;$B$1,cha_mc[VisualId]&amp;cha_mc[UnitTestingSeqKey]&amp;cha_mc[TestName],cha_mc[TestValue],"")</f>
        <v/>
      </c>
      <c r="AW82" s="30"/>
      <c r="AX82" s="30"/>
      <c r="AY82" s="30"/>
      <c r="AZ82" s="30"/>
      <c r="BA82" s="30"/>
    </row>
    <row r="83" spans="1:53" x14ac:dyDescent="0.3">
      <c r="A83" s="4" t="str">
        <f t="shared" si="6"/>
        <v>74X97M1000031</v>
      </c>
      <c r="B83" s="4" t="str">
        <f t="shared" si="7"/>
        <v>1-1</v>
      </c>
      <c r="C83" s="4">
        <v>1</v>
      </c>
      <c r="D83" s="4">
        <v>79</v>
      </c>
      <c r="E83" s="4" t="str" cm="1">
        <f t="array" ref="E83">_xlfn.XLOOKUP(A83&amp;B83&amp;$E$1&amp;"DPMB_SOCKET0__COMPUTE"&amp;C83&amp;"__CPU__CORE"&amp;Check!D83&amp;"__ML2_CR_MC3_STATUS"&amp;$B$1,core_mc[VisualId]&amp;core_mc[PPVRun_MC]&amp;core_mc[Lot]&amp;core_mc[TestNameWithoutNumeric],core_mc[TestValue],"")</f>
        <v/>
      </c>
      <c r="F83" s="4">
        <v>79</v>
      </c>
      <c r="G83" s="4" t="str" cm="1">
        <f t="array" ref="G83">_xlfn.XLOOKUP(A83&amp;B83&amp;$E$1&amp;"DPMB_SOCKET0__COMPUTE"&amp;C83&amp;"__UNCORE__CHA__CHA"&amp;Check!F83&amp;"__UTIL__MC_STATUS"&amp;$B$1,cha_mc[VisualId]&amp;cha_mc[PPVRun_MC]&amp;cha_mc[Lot]&amp;cha_mc[TestNameWithoutNumeric],cha_mc[TestValue],"")</f>
        <v/>
      </c>
      <c r="H83" s="4" t="str">
        <f t="shared" si="8"/>
        <v/>
      </c>
      <c r="AK83" s="4" t="str">
        <f t="shared" si="9"/>
        <v/>
      </c>
      <c r="AL83" s="4"/>
      <c r="AM83" s="4" t="str">
        <f t="shared" si="10"/>
        <v/>
      </c>
      <c r="AN83" s="4" t="str">
        <f>IFERROR(_xlfn.XLOOKUP(HEX2DEC(MID(AM83,LEN(AM83)-7,4)),mscod[MSCOD_BY_VAL],mscod[Description],""),"")</f>
        <v/>
      </c>
      <c r="AO83" s="4" t="str" cm="1">
        <f t="array" ref="AO83">_xlfn.XLOOKUP($K$1&amp;$Q$1&amp;"DPMB_SOCKET0__COMPUTE"&amp;AK83&amp;"__UNCORE__CHA__CHA"&amp;AL83&amp;"__UTIL__MC_ADDR"&amp;$B$1,cha_mc[VisualId]&amp;cha_mc[UnitTestingSeqKey]&amp;cha_mc[TestName],cha_mc[TestValue],"")</f>
        <v/>
      </c>
      <c r="AP83" s="4" t="str" cm="1">
        <f t="array" ref="AP83">_xlfn.XLOOKUP($K$1&amp;$Q$1&amp;"DPMB_SOCKET0__COMPUTE"&amp;AK83&amp;"__UNCORE__CHA__CHA"&amp;AL83&amp;"__UTIL__MC_MISC"&amp;$B$1,cha_mc[VisualId]&amp;cha_mc[UnitTestingSeqKey]&amp;cha_mc[TestName],cha_mc[TestValue],"")</f>
        <v/>
      </c>
      <c r="AQ83" s="30"/>
      <c r="AR83" s="30"/>
      <c r="AS83" s="30"/>
      <c r="AT83" s="30"/>
      <c r="AU83" s="30"/>
      <c r="AV83" s="4" t="str" cm="1">
        <f t="array" ref="AV83">_xlfn.XLOOKUP($K$1&amp;$Q$1&amp;"DPMB_SOCKET0__COMPUTE"&amp;AK83&amp;"__UNCORE__CHA__CHA"&amp;AL83&amp;"__UTIL__MC_MISC3"&amp;$B$1,cha_mc[VisualId]&amp;cha_mc[UnitTestingSeqKey]&amp;cha_mc[TestName],cha_mc[TestValue],"")</f>
        <v/>
      </c>
      <c r="AW83" s="30"/>
      <c r="AX83" s="30"/>
      <c r="AY83" s="30"/>
      <c r="AZ83" s="30"/>
      <c r="BA83" s="30"/>
    </row>
    <row r="84" spans="1:53" x14ac:dyDescent="0.3">
      <c r="A84" s="4" t="str">
        <f t="shared" si="6"/>
        <v>74X97M1000031</v>
      </c>
      <c r="B84" s="4" t="str">
        <f t="shared" si="7"/>
        <v>1-1</v>
      </c>
      <c r="C84" s="4">
        <v>1</v>
      </c>
      <c r="D84" s="4">
        <v>80</v>
      </c>
      <c r="E84" s="4" t="str" cm="1">
        <f t="array" ref="E84">_xlfn.XLOOKUP(A84&amp;B84&amp;$E$1&amp;"DPMB_SOCKET0__COMPUTE"&amp;C84&amp;"__CPU__CORE"&amp;Check!D84&amp;"__ML2_CR_MC3_STATUS"&amp;$B$1,core_mc[VisualId]&amp;core_mc[PPVRun_MC]&amp;core_mc[Lot]&amp;core_mc[TestNameWithoutNumeric],core_mc[TestValue],"")</f>
        <v/>
      </c>
      <c r="F84" s="4">
        <v>80</v>
      </c>
      <c r="G84" s="4" t="str" cm="1">
        <f t="array" ref="G84">_xlfn.XLOOKUP(A84&amp;B84&amp;$E$1&amp;"DPMB_SOCKET0__COMPUTE"&amp;C84&amp;"__UNCORE__CHA__CHA"&amp;Check!F84&amp;"__UTIL__MC_STATUS"&amp;$B$1,cha_mc[VisualId]&amp;cha_mc[PPVRun_MC]&amp;cha_mc[Lot]&amp;cha_mc[TestNameWithoutNumeric],cha_mc[TestValue],"")</f>
        <v/>
      </c>
      <c r="H84" s="4" t="str">
        <f t="shared" si="8"/>
        <v/>
      </c>
      <c r="AK84" s="4" t="str">
        <f t="shared" si="9"/>
        <v/>
      </c>
      <c r="AL84" s="4"/>
      <c r="AM84" s="4" t="str">
        <f t="shared" si="10"/>
        <v/>
      </c>
      <c r="AN84" s="4" t="str">
        <f>IFERROR(_xlfn.XLOOKUP(HEX2DEC(MID(AM84,LEN(AM84)-7,4)),mscod[MSCOD_BY_VAL],mscod[Description],""),"")</f>
        <v/>
      </c>
      <c r="AO84" s="4" t="str" cm="1">
        <f t="array" ref="AO84">_xlfn.XLOOKUP($K$1&amp;$Q$1&amp;"DPMB_SOCKET0__COMPUTE"&amp;AK84&amp;"__UNCORE__CHA__CHA"&amp;AL84&amp;"__UTIL__MC_ADDR"&amp;$B$1,cha_mc[VisualId]&amp;cha_mc[UnitTestingSeqKey]&amp;cha_mc[TestName],cha_mc[TestValue],"")</f>
        <v/>
      </c>
      <c r="AP84" s="4" t="str" cm="1">
        <f t="array" ref="AP84">_xlfn.XLOOKUP($K$1&amp;$Q$1&amp;"DPMB_SOCKET0__COMPUTE"&amp;AK84&amp;"__UNCORE__CHA__CHA"&amp;AL84&amp;"__UTIL__MC_MISC"&amp;$B$1,cha_mc[VisualId]&amp;cha_mc[UnitTestingSeqKey]&amp;cha_mc[TestName],cha_mc[TestValue],"")</f>
        <v/>
      </c>
      <c r="AQ84" s="30"/>
      <c r="AR84" s="30"/>
      <c r="AS84" s="30"/>
      <c r="AT84" s="30"/>
      <c r="AU84" s="30"/>
      <c r="AV84" s="4" t="str" cm="1">
        <f t="array" ref="AV84">_xlfn.XLOOKUP($K$1&amp;$Q$1&amp;"DPMB_SOCKET0__COMPUTE"&amp;AK84&amp;"__UNCORE__CHA__CHA"&amp;AL84&amp;"__UTIL__MC_MISC3"&amp;$B$1,cha_mc[VisualId]&amp;cha_mc[UnitTestingSeqKey]&amp;cha_mc[TestName],cha_mc[TestValue],"")</f>
        <v/>
      </c>
      <c r="AW84" s="30"/>
      <c r="AX84" s="30"/>
      <c r="AY84" s="30"/>
      <c r="AZ84" s="30"/>
      <c r="BA84" s="30"/>
    </row>
    <row r="85" spans="1:53" x14ac:dyDescent="0.3">
      <c r="A85" s="4" t="str">
        <f t="shared" si="6"/>
        <v>74X97M1000031</v>
      </c>
      <c r="B85" s="4" t="str">
        <f t="shared" si="7"/>
        <v>1-1</v>
      </c>
      <c r="C85" s="4">
        <v>1</v>
      </c>
      <c r="D85" s="4">
        <v>81</v>
      </c>
      <c r="E85" s="4" t="str" cm="1">
        <f t="array" ref="E85">_xlfn.XLOOKUP(A85&amp;B85&amp;$E$1&amp;"DPMB_SOCKET0__COMPUTE"&amp;C85&amp;"__CPU__CORE"&amp;Check!D85&amp;"__ML2_CR_MC3_STATUS"&amp;$B$1,core_mc[VisualId]&amp;core_mc[PPVRun_MC]&amp;core_mc[Lot]&amp;core_mc[TestNameWithoutNumeric],core_mc[TestValue],"")</f>
        <v/>
      </c>
      <c r="F85" s="4">
        <v>81</v>
      </c>
      <c r="G85" s="4" t="str" cm="1">
        <f t="array" ref="G85">_xlfn.XLOOKUP(A85&amp;B85&amp;$E$1&amp;"DPMB_SOCKET0__COMPUTE"&amp;C85&amp;"__UNCORE__CHA__CHA"&amp;Check!F85&amp;"__UTIL__MC_STATUS"&amp;$B$1,cha_mc[VisualId]&amp;cha_mc[PPVRun_MC]&amp;cha_mc[Lot]&amp;cha_mc[TestNameWithoutNumeric],cha_mc[TestValue],"")</f>
        <v/>
      </c>
      <c r="H85" s="4" t="str">
        <f t="shared" si="8"/>
        <v/>
      </c>
      <c r="AK85" s="4" t="str">
        <f t="shared" si="9"/>
        <v/>
      </c>
      <c r="AL85" s="4"/>
      <c r="AM85" s="4" t="str">
        <f t="shared" si="10"/>
        <v/>
      </c>
      <c r="AN85" s="4" t="str">
        <f>IFERROR(_xlfn.XLOOKUP(HEX2DEC(MID(AM85,LEN(AM85)-7,4)),mscod[MSCOD_BY_VAL],mscod[Description],""),"")</f>
        <v/>
      </c>
      <c r="AO85" s="4" t="str" cm="1">
        <f t="array" ref="AO85">_xlfn.XLOOKUP($K$1&amp;$Q$1&amp;"DPMB_SOCKET0__COMPUTE"&amp;AK85&amp;"__UNCORE__CHA__CHA"&amp;AL85&amp;"__UTIL__MC_ADDR"&amp;$B$1,cha_mc[VisualId]&amp;cha_mc[UnitTestingSeqKey]&amp;cha_mc[TestName],cha_mc[TestValue],"")</f>
        <v/>
      </c>
      <c r="AP85" s="4" t="str" cm="1">
        <f t="array" ref="AP85">_xlfn.XLOOKUP($K$1&amp;$Q$1&amp;"DPMB_SOCKET0__COMPUTE"&amp;AK85&amp;"__UNCORE__CHA__CHA"&amp;AL85&amp;"__UTIL__MC_MISC"&amp;$B$1,cha_mc[VisualId]&amp;cha_mc[UnitTestingSeqKey]&amp;cha_mc[TestName],cha_mc[TestValue],"")</f>
        <v/>
      </c>
      <c r="AQ85" s="30"/>
      <c r="AR85" s="30"/>
      <c r="AS85" s="30"/>
      <c r="AT85" s="30"/>
      <c r="AU85" s="30"/>
      <c r="AV85" s="4" t="str" cm="1">
        <f t="array" ref="AV85">_xlfn.XLOOKUP($K$1&amp;$Q$1&amp;"DPMB_SOCKET0__COMPUTE"&amp;AK85&amp;"__UNCORE__CHA__CHA"&amp;AL85&amp;"__UTIL__MC_MISC3"&amp;$B$1,cha_mc[VisualId]&amp;cha_mc[UnitTestingSeqKey]&amp;cha_mc[TestName],cha_mc[TestValue],"")</f>
        <v/>
      </c>
      <c r="AW85" s="30"/>
      <c r="AX85" s="30"/>
      <c r="AY85" s="30"/>
      <c r="AZ85" s="30"/>
      <c r="BA85" s="30"/>
    </row>
    <row r="86" spans="1:53" x14ac:dyDescent="0.3">
      <c r="A86" s="4" t="str">
        <f t="shared" si="6"/>
        <v>74X97M1000031</v>
      </c>
      <c r="B86" s="4" t="str">
        <f t="shared" si="7"/>
        <v>1-1</v>
      </c>
      <c r="C86" s="4">
        <v>1</v>
      </c>
      <c r="D86" s="4">
        <v>82</v>
      </c>
      <c r="E86" s="4" t="str" cm="1">
        <f t="array" ref="E86">_xlfn.XLOOKUP(A86&amp;B86&amp;$E$1&amp;"DPMB_SOCKET0__COMPUTE"&amp;C86&amp;"__CPU__CORE"&amp;Check!D86&amp;"__ML2_CR_MC3_STATUS"&amp;$B$1,core_mc[VisualId]&amp;core_mc[PPVRun_MC]&amp;core_mc[Lot]&amp;core_mc[TestNameWithoutNumeric],core_mc[TestValue],"")</f>
        <v/>
      </c>
      <c r="F86" s="4">
        <v>82</v>
      </c>
      <c r="G86" s="4" t="str" cm="1">
        <f t="array" ref="G86">_xlfn.XLOOKUP(A86&amp;B86&amp;$E$1&amp;"DPMB_SOCKET0__COMPUTE"&amp;C86&amp;"__UNCORE__CHA__CHA"&amp;Check!F86&amp;"__UTIL__MC_STATUS"&amp;$B$1,cha_mc[VisualId]&amp;cha_mc[PPVRun_MC]&amp;cha_mc[Lot]&amp;cha_mc[TestNameWithoutNumeric],cha_mc[TestValue],"")</f>
        <v/>
      </c>
      <c r="H86" s="4" t="str">
        <f t="shared" si="8"/>
        <v/>
      </c>
      <c r="AK86" s="4" t="str">
        <f t="shared" si="9"/>
        <v/>
      </c>
      <c r="AL86" s="4"/>
      <c r="AM86" s="4" t="str">
        <f t="shared" si="10"/>
        <v/>
      </c>
      <c r="AN86" s="4" t="str">
        <f>IFERROR(_xlfn.XLOOKUP(HEX2DEC(MID(AM86,LEN(AM86)-7,4)),mscod[MSCOD_BY_VAL],mscod[Description],""),"")</f>
        <v/>
      </c>
      <c r="AO86" s="4" t="str" cm="1">
        <f t="array" ref="AO86">_xlfn.XLOOKUP($K$1&amp;$Q$1&amp;"DPMB_SOCKET0__COMPUTE"&amp;AK86&amp;"__UNCORE__CHA__CHA"&amp;AL86&amp;"__UTIL__MC_ADDR"&amp;$B$1,cha_mc[VisualId]&amp;cha_mc[UnitTestingSeqKey]&amp;cha_mc[TestName],cha_mc[TestValue],"")</f>
        <v/>
      </c>
      <c r="AP86" s="4" t="str" cm="1">
        <f t="array" ref="AP86">_xlfn.XLOOKUP($K$1&amp;$Q$1&amp;"DPMB_SOCKET0__COMPUTE"&amp;AK86&amp;"__UNCORE__CHA__CHA"&amp;AL86&amp;"__UTIL__MC_MISC"&amp;$B$1,cha_mc[VisualId]&amp;cha_mc[UnitTestingSeqKey]&amp;cha_mc[TestName],cha_mc[TestValue],"")</f>
        <v/>
      </c>
      <c r="AQ86" s="30"/>
      <c r="AR86" s="30"/>
      <c r="AS86" s="30"/>
      <c r="AT86" s="30"/>
      <c r="AU86" s="30"/>
      <c r="AV86" s="4" t="str" cm="1">
        <f t="array" ref="AV86">_xlfn.XLOOKUP($K$1&amp;$Q$1&amp;"DPMB_SOCKET0__COMPUTE"&amp;AK86&amp;"__UNCORE__CHA__CHA"&amp;AL86&amp;"__UTIL__MC_MISC3"&amp;$B$1,cha_mc[VisualId]&amp;cha_mc[UnitTestingSeqKey]&amp;cha_mc[TestName],cha_mc[TestValue],"")</f>
        <v/>
      </c>
      <c r="AW86" s="30"/>
      <c r="AX86" s="30"/>
      <c r="AY86" s="30"/>
      <c r="AZ86" s="30"/>
      <c r="BA86" s="30"/>
    </row>
    <row r="87" spans="1:53" x14ac:dyDescent="0.3">
      <c r="A87" s="4" t="str">
        <f t="shared" si="6"/>
        <v>74X97M1000031</v>
      </c>
      <c r="B87" s="4" t="str">
        <f t="shared" si="7"/>
        <v>1-1</v>
      </c>
      <c r="C87" s="4">
        <v>1</v>
      </c>
      <c r="D87" s="4">
        <v>83</v>
      </c>
      <c r="E87" s="4" t="str" cm="1">
        <f t="array" ref="E87">_xlfn.XLOOKUP(A87&amp;B87&amp;$E$1&amp;"DPMB_SOCKET0__COMPUTE"&amp;C87&amp;"__CPU__CORE"&amp;Check!D87&amp;"__ML2_CR_MC3_STATUS"&amp;$B$1,core_mc[VisualId]&amp;core_mc[PPVRun_MC]&amp;core_mc[Lot]&amp;core_mc[TestNameWithoutNumeric],core_mc[TestValue],"")</f>
        <v/>
      </c>
      <c r="F87" s="4">
        <v>83</v>
      </c>
      <c r="G87" s="4" t="str" cm="1">
        <f t="array" ref="G87">_xlfn.XLOOKUP(A87&amp;B87&amp;$E$1&amp;"DPMB_SOCKET0__COMPUTE"&amp;C87&amp;"__UNCORE__CHA__CHA"&amp;Check!F87&amp;"__UTIL__MC_STATUS"&amp;$B$1,cha_mc[VisualId]&amp;cha_mc[PPVRun_MC]&amp;cha_mc[Lot]&amp;cha_mc[TestNameWithoutNumeric],cha_mc[TestValue],"")</f>
        <v/>
      </c>
      <c r="H87" s="4" t="str">
        <f t="shared" si="8"/>
        <v/>
      </c>
      <c r="AK87" s="4" t="str">
        <f t="shared" si="9"/>
        <v/>
      </c>
      <c r="AL87" s="4"/>
      <c r="AM87" s="4" t="str">
        <f t="shared" si="10"/>
        <v/>
      </c>
      <c r="AN87" s="4" t="str">
        <f>IFERROR(_xlfn.XLOOKUP(HEX2DEC(MID(AM87,LEN(AM87)-7,4)),mscod[MSCOD_BY_VAL],mscod[Description],""),"")</f>
        <v/>
      </c>
      <c r="AO87" s="4" t="str" cm="1">
        <f t="array" ref="AO87">_xlfn.XLOOKUP($K$1&amp;$Q$1&amp;"DPMB_SOCKET0__COMPUTE"&amp;AK87&amp;"__UNCORE__CHA__CHA"&amp;AL87&amp;"__UTIL__MC_ADDR"&amp;$B$1,cha_mc[VisualId]&amp;cha_mc[UnitTestingSeqKey]&amp;cha_mc[TestName],cha_mc[TestValue],"")</f>
        <v/>
      </c>
      <c r="AP87" s="4" t="str" cm="1">
        <f t="array" ref="AP87">_xlfn.XLOOKUP($K$1&amp;$Q$1&amp;"DPMB_SOCKET0__COMPUTE"&amp;AK87&amp;"__UNCORE__CHA__CHA"&amp;AL87&amp;"__UTIL__MC_MISC"&amp;$B$1,cha_mc[VisualId]&amp;cha_mc[UnitTestingSeqKey]&amp;cha_mc[TestName],cha_mc[TestValue],"")</f>
        <v/>
      </c>
      <c r="AQ87" s="30"/>
      <c r="AR87" s="30"/>
      <c r="AS87" s="30"/>
      <c r="AT87" s="30"/>
      <c r="AU87" s="30"/>
      <c r="AV87" s="4" t="str" cm="1">
        <f t="array" ref="AV87">_xlfn.XLOOKUP($K$1&amp;$Q$1&amp;"DPMB_SOCKET0__COMPUTE"&amp;AK87&amp;"__UNCORE__CHA__CHA"&amp;AL87&amp;"__UTIL__MC_MISC3"&amp;$B$1,cha_mc[VisualId]&amp;cha_mc[UnitTestingSeqKey]&amp;cha_mc[TestName],cha_mc[TestValue],"")</f>
        <v/>
      </c>
      <c r="AW87" s="30"/>
      <c r="AX87" s="30"/>
      <c r="AY87" s="30"/>
      <c r="AZ87" s="30"/>
      <c r="BA87" s="30"/>
    </row>
    <row r="88" spans="1:53" x14ac:dyDescent="0.3">
      <c r="A88" s="4" t="str">
        <f t="shared" si="6"/>
        <v>74X97M1000031</v>
      </c>
      <c r="B88" s="4" t="str">
        <f t="shared" si="7"/>
        <v>1-1</v>
      </c>
      <c r="C88" s="4">
        <v>1</v>
      </c>
      <c r="D88" s="4">
        <v>84</v>
      </c>
      <c r="E88" s="4" t="str" cm="1">
        <f t="array" ref="E88">_xlfn.XLOOKUP(A88&amp;B88&amp;$E$1&amp;"DPMB_SOCKET0__COMPUTE"&amp;C88&amp;"__CPU__CORE"&amp;Check!D88&amp;"__ML2_CR_MC3_STATUS"&amp;$B$1,core_mc[VisualId]&amp;core_mc[PPVRun_MC]&amp;core_mc[Lot]&amp;core_mc[TestNameWithoutNumeric],core_mc[TestValue],"")</f>
        <v/>
      </c>
      <c r="F88" s="4">
        <v>84</v>
      </c>
      <c r="G88" s="4" t="str" cm="1">
        <f t="array" ref="G88">_xlfn.XLOOKUP(A88&amp;B88&amp;$E$1&amp;"DPMB_SOCKET0__COMPUTE"&amp;C88&amp;"__UNCORE__CHA__CHA"&amp;Check!F88&amp;"__UTIL__MC_STATUS"&amp;$B$1,cha_mc[VisualId]&amp;cha_mc[PPVRun_MC]&amp;cha_mc[Lot]&amp;cha_mc[TestNameWithoutNumeric],cha_mc[TestValue],"")</f>
        <v/>
      </c>
      <c r="H88" s="4" t="str">
        <f t="shared" si="8"/>
        <v/>
      </c>
      <c r="AK88" s="4" t="str">
        <f t="shared" si="9"/>
        <v/>
      </c>
      <c r="AL88" s="4"/>
      <c r="AM88" s="4" t="str">
        <f t="shared" si="10"/>
        <v/>
      </c>
      <c r="AN88" s="4" t="str">
        <f>IFERROR(_xlfn.XLOOKUP(HEX2DEC(MID(AM88,LEN(AM88)-7,4)),mscod[MSCOD_BY_VAL],mscod[Description],""),"")</f>
        <v/>
      </c>
      <c r="AO88" s="4" t="str" cm="1">
        <f t="array" ref="AO88">_xlfn.XLOOKUP($K$1&amp;$Q$1&amp;"DPMB_SOCKET0__COMPUTE"&amp;AK88&amp;"__UNCORE__CHA__CHA"&amp;AL88&amp;"__UTIL__MC_ADDR"&amp;$B$1,cha_mc[VisualId]&amp;cha_mc[UnitTestingSeqKey]&amp;cha_mc[TestName],cha_mc[TestValue],"")</f>
        <v/>
      </c>
      <c r="AP88" s="4" t="str" cm="1">
        <f t="array" ref="AP88">_xlfn.XLOOKUP($K$1&amp;$Q$1&amp;"DPMB_SOCKET0__COMPUTE"&amp;AK88&amp;"__UNCORE__CHA__CHA"&amp;AL88&amp;"__UTIL__MC_MISC"&amp;$B$1,cha_mc[VisualId]&amp;cha_mc[UnitTestingSeqKey]&amp;cha_mc[TestName],cha_mc[TestValue],"")</f>
        <v/>
      </c>
      <c r="AQ88" s="30"/>
      <c r="AR88" s="30"/>
      <c r="AS88" s="30"/>
      <c r="AT88" s="30"/>
      <c r="AU88" s="30"/>
      <c r="AV88" s="4" t="str" cm="1">
        <f t="array" ref="AV88">_xlfn.XLOOKUP($K$1&amp;$Q$1&amp;"DPMB_SOCKET0__COMPUTE"&amp;AK88&amp;"__UNCORE__CHA__CHA"&amp;AL88&amp;"__UTIL__MC_MISC3"&amp;$B$1,cha_mc[VisualId]&amp;cha_mc[UnitTestingSeqKey]&amp;cha_mc[TestName],cha_mc[TestValue],"")</f>
        <v/>
      </c>
      <c r="AW88" s="30"/>
      <c r="AX88" s="30"/>
      <c r="AY88" s="30"/>
      <c r="AZ88" s="30"/>
      <c r="BA88" s="30"/>
    </row>
    <row r="89" spans="1:53" x14ac:dyDescent="0.3">
      <c r="A89" s="4" t="str">
        <f t="shared" si="6"/>
        <v>74X97M1000031</v>
      </c>
      <c r="B89" s="4" t="str">
        <f t="shared" si="7"/>
        <v>1-1</v>
      </c>
      <c r="C89" s="4">
        <v>1</v>
      </c>
      <c r="D89" s="4">
        <v>85</v>
      </c>
      <c r="E89" s="4" t="str" cm="1">
        <f t="array" ref="E89">_xlfn.XLOOKUP(A89&amp;B89&amp;$E$1&amp;"DPMB_SOCKET0__COMPUTE"&amp;C89&amp;"__CPU__CORE"&amp;Check!D89&amp;"__ML2_CR_MC3_STATUS"&amp;$B$1,core_mc[VisualId]&amp;core_mc[PPVRun_MC]&amp;core_mc[Lot]&amp;core_mc[TestNameWithoutNumeric],core_mc[TestValue],"")</f>
        <v/>
      </c>
      <c r="F89" s="4">
        <v>85</v>
      </c>
      <c r="G89" s="4" t="str" cm="1">
        <f t="array" ref="G89">_xlfn.XLOOKUP(A89&amp;B89&amp;$E$1&amp;"DPMB_SOCKET0__COMPUTE"&amp;C89&amp;"__UNCORE__CHA__CHA"&amp;Check!F89&amp;"__UTIL__MC_STATUS"&amp;$B$1,cha_mc[VisualId]&amp;cha_mc[PPVRun_MC]&amp;cha_mc[Lot]&amp;cha_mc[TestNameWithoutNumeric],cha_mc[TestValue],"")</f>
        <v/>
      </c>
      <c r="H89" s="4" t="str">
        <f t="shared" si="8"/>
        <v/>
      </c>
      <c r="AK89" s="4" t="str">
        <f t="shared" si="9"/>
        <v/>
      </c>
      <c r="AL89" s="4"/>
      <c r="AM89" s="4" t="str">
        <f t="shared" si="10"/>
        <v/>
      </c>
      <c r="AN89" s="4" t="str">
        <f>IFERROR(_xlfn.XLOOKUP(HEX2DEC(MID(AM89,LEN(AM89)-7,4)),mscod[MSCOD_BY_VAL],mscod[Description],""),"")</f>
        <v/>
      </c>
      <c r="AO89" s="4" t="str" cm="1">
        <f t="array" ref="AO89">_xlfn.XLOOKUP($K$1&amp;$Q$1&amp;"DPMB_SOCKET0__COMPUTE"&amp;AK89&amp;"__UNCORE__CHA__CHA"&amp;AL89&amp;"__UTIL__MC_ADDR"&amp;$B$1,cha_mc[VisualId]&amp;cha_mc[UnitTestingSeqKey]&amp;cha_mc[TestName],cha_mc[TestValue],"")</f>
        <v/>
      </c>
      <c r="AP89" s="4" t="str" cm="1">
        <f t="array" ref="AP89">_xlfn.XLOOKUP($K$1&amp;$Q$1&amp;"DPMB_SOCKET0__COMPUTE"&amp;AK89&amp;"__UNCORE__CHA__CHA"&amp;AL89&amp;"__UTIL__MC_MISC"&amp;$B$1,cha_mc[VisualId]&amp;cha_mc[UnitTestingSeqKey]&amp;cha_mc[TestName],cha_mc[TestValue],"")</f>
        <v/>
      </c>
      <c r="AQ89" s="30"/>
      <c r="AR89" s="30"/>
      <c r="AS89" s="30"/>
      <c r="AT89" s="30"/>
      <c r="AU89" s="30"/>
      <c r="AV89" s="4" t="str" cm="1">
        <f t="array" ref="AV89">_xlfn.XLOOKUP($K$1&amp;$Q$1&amp;"DPMB_SOCKET0__COMPUTE"&amp;AK89&amp;"__UNCORE__CHA__CHA"&amp;AL89&amp;"__UTIL__MC_MISC3"&amp;$B$1,cha_mc[VisualId]&amp;cha_mc[UnitTestingSeqKey]&amp;cha_mc[TestName],cha_mc[TestValue],"")</f>
        <v/>
      </c>
      <c r="AW89" s="30"/>
      <c r="AX89" s="30"/>
      <c r="AY89" s="30"/>
      <c r="AZ89" s="30"/>
      <c r="BA89" s="30"/>
    </row>
    <row r="90" spans="1:53" x14ac:dyDescent="0.3">
      <c r="A90" s="4" t="str">
        <f t="shared" si="6"/>
        <v>74X97M1000031</v>
      </c>
      <c r="B90" s="4" t="str">
        <f t="shared" si="7"/>
        <v>1-1</v>
      </c>
      <c r="C90" s="4">
        <v>1</v>
      </c>
      <c r="D90" s="4">
        <v>86</v>
      </c>
      <c r="E90" s="4" t="str" cm="1">
        <f t="array" ref="E90">_xlfn.XLOOKUP(A90&amp;B90&amp;$E$1&amp;"DPMB_SOCKET0__COMPUTE"&amp;C90&amp;"__CPU__CORE"&amp;Check!D90&amp;"__ML2_CR_MC3_STATUS"&amp;$B$1,core_mc[VisualId]&amp;core_mc[PPVRun_MC]&amp;core_mc[Lot]&amp;core_mc[TestNameWithoutNumeric],core_mc[TestValue],"")</f>
        <v/>
      </c>
      <c r="F90" s="4">
        <v>86</v>
      </c>
      <c r="G90" s="4" t="str" cm="1">
        <f t="array" ref="G90">_xlfn.XLOOKUP(A90&amp;B90&amp;$E$1&amp;"DPMB_SOCKET0__COMPUTE"&amp;C90&amp;"__UNCORE__CHA__CHA"&amp;Check!F90&amp;"__UTIL__MC_STATUS"&amp;$B$1,cha_mc[VisualId]&amp;cha_mc[PPVRun_MC]&amp;cha_mc[Lot]&amp;cha_mc[TestNameWithoutNumeric],cha_mc[TestValue],"")</f>
        <v/>
      </c>
      <c r="H90" s="4" t="str">
        <f t="shared" si="8"/>
        <v/>
      </c>
      <c r="AK90" s="4" t="str">
        <f t="shared" si="9"/>
        <v/>
      </c>
      <c r="AL90" s="4"/>
      <c r="AM90" s="4" t="str">
        <f t="shared" si="10"/>
        <v/>
      </c>
      <c r="AN90" s="4" t="str">
        <f>IFERROR(_xlfn.XLOOKUP(HEX2DEC(MID(AM90,LEN(AM90)-7,4)),mscod[MSCOD_BY_VAL],mscod[Description],""),"")</f>
        <v/>
      </c>
      <c r="AO90" s="4" t="str" cm="1">
        <f t="array" ref="AO90">_xlfn.XLOOKUP($K$1&amp;$Q$1&amp;"DPMB_SOCKET0__COMPUTE"&amp;AK90&amp;"__UNCORE__CHA__CHA"&amp;AL90&amp;"__UTIL__MC_ADDR"&amp;$B$1,cha_mc[VisualId]&amp;cha_mc[UnitTestingSeqKey]&amp;cha_mc[TestName],cha_mc[TestValue],"")</f>
        <v/>
      </c>
      <c r="AP90" s="4" t="str" cm="1">
        <f t="array" ref="AP90">_xlfn.XLOOKUP($K$1&amp;$Q$1&amp;"DPMB_SOCKET0__COMPUTE"&amp;AK90&amp;"__UNCORE__CHA__CHA"&amp;AL90&amp;"__UTIL__MC_MISC"&amp;$B$1,cha_mc[VisualId]&amp;cha_mc[UnitTestingSeqKey]&amp;cha_mc[TestName],cha_mc[TestValue],"")</f>
        <v/>
      </c>
      <c r="AQ90" s="30"/>
      <c r="AR90" s="30"/>
      <c r="AS90" s="30"/>
      <c r="AT90" s="30"/>
      <c r="AU90" s="30"/>
      <c r="AV90" s="4" t="str" cm="1">
        <f t="array" ref="AV90">_xlfn.XLOOKUP($K$1&amp;$Q$1&amp;"DPMB_SOCKET0__COMPUTE"&amp;AK90&amp;"__UNCORE__CHA__CHA"&amp;AL90&amp;"__UTIL__MC_MISC3"&amp;$B$1,cha_mc[VisualId]&amp;cha_mc[UnitTestingSeqKey]&amp;cha_mc[TestName],cha_mc[TestValue],"")</f>
        <v/>
      </c>
      <c r="AW90" s="30"/>
      <c r="AX90" s="30"/>
      <c r="AY90" s="30"/>
      <c r="AZ90" s="30"/>
      <c r="BA90" s="30"/>
    </row>
    <row r="91" spans="1:53" x14ac:dyDescent="0.3">
      <c r="A91" s="4" t="str">
        <f t="shared" si="6"/>
        <v>74X97M1000031</v>
      </c>
      <c r="B91" s="4" t="str">
        <f t="shared" si="7"/>
        <v>1-1</v>
      </c>
      <c r="C91" s="4">
        <v>1</v>
      </c>
      <c r="D91" s="4">
        <v>87</v>
      </c>
      <c r="E91" s="4" t="str" cm="1">
        <f t="array" ref="E91">_xlfn.XLOOKUP(A91&amp;B91&amp;$E$1&amp;"DPMB_SOCKET0__COMPUTE"&amp;C91&amp;"__CPU__CORE"&amp;Check!D91&amp;"__ML2_CR_MC3_STATUS"&amp;$B$1,core_mc[VisualId]&amp;core_mc[PPVRun_MC]&amp;core_mc[Lot]&amp;core_mc[TestNameWithoutNumeric],core_mc[TestValue],"")</f>
        <v/>
      </c>
      <c r="F91" s="4">
        <v>87</v>
      </c>
      <c r="G91" s="4" t="str" cm="1">
        <f t="array" ref="G91">_xlfn.XLOOKUP(A91&amp;B91&amp;$E$1&amp;"DPMB_SOCKET0__COMPUTE"&amp;C91&amp;"__UNCORE__CHA__CHA"&amp;Check!F91&amp;"__UTIL__MC_STATUS"&amp;$B$1,cha_mc[VisualId]&amp;cha_mc[PPVRun_MC]&amp;cha_mc[Lot]&amp;cha_mc[TestNameWithoutNumeric],cha_mc[TestValue],"")</f>
        <v/>
      </c>
      <c r="H91" s="4" t="str">
        <f t="shared" si="8"/>
        <v/>
      </c>
      <c r="AK91" s="4" t="str">
        <f t="shared" si="9"/>
        <v/>
      </c>
      <c r="AL91" s="4"/>
      <c r="AM91" s="4" t="str">
        <f t="shared" si="10"/>
        <v/>
      </c>
      <c r="AN91" s="4" t="str">
        <f>IFERROR(_xlfn.XLOOKUP(HEX2DEC(MID(AM91,LEN(AM91)-7,4)),mscod[MSCOD_BY_VAL],mscod[Description],""),"")</f>
        <v/>
      </c>
      <c r="AO91" s="4" t="str" cm="1">
        <f t="array" ref="AO91">_xlfn.XLOOKUP($K$1&amp;$Q$1&amp;"DPMB_SOCKET0__COMPUTE"&amp;AK91&amp;"__UNCORE__CHA__CHA"&amp;AL91&amp;"__UTIL__MC_ADDR"&amp;$B$1,cha_mc[VisualId]&amp;cha_mc[UnitTestingSeqKey]&amp;cha_mc[TestName],cha_mc[TestValue],"")</f>
        <v/>
      </c>
      <c r="AP91" s="4" t="str" cm="1">
        <f t="array" ref="AP91">_xlfn.XLOOKUP($K$1&amp;$Q$1&amp;"DPMB_SOCKET0__COMPUTE"&amp;AK91&amp;"__UNCORE__CHA__CHA"&amp;AL91&amp;"__UTIL__MC_MISC"&amp;$B$1,cha_mc[VisualId]&amp;cha_mc[UnitTestingSeqKey]&amp;cha_mc[TestName],cha_mc[TestValue],"")</f>
        <v/>
      </c>
      <c r="AQ91" s="30"/>
      <c r="AR91" s="30"/>
      <c r="AS91" s="30"/>
      <c r="AT91" s="30"/>
      <c r="AU91" s="30"/>
      <c r="AV91" s="4" t="str" cm="1">
        <f t="array" ref="AV91">_xlfn.XLOOKUP($K$1&amp;$Q$1&amp;"DPMB_SOCKET0__COMPUTE"&amp;AK91&amp;"__UNCORE__CHA__CHA"&amp;AL91&amp;"__UTIL__MC_MISC3"&amp;$B$1,cha_mc[VisualId]&amp;cha_mc[UnitTestingSeqKey]&amp;cha_mc[TestName],cha_mc[TestValue],"")</f>
        <v/>
      </c>
      <c r="AW91" s="30"/>
      <c r="AX91" s="30"/>
      <c r="AY91" s="30"/>
      <c r="AZ91" s="30"/>
      <c r="BA91" s="30"/>
    </row>
    <row r="92" spans="1:53" x14ac:dyDescent="0.3">
      <c r="A92" s="4" t="str">
        <f t="shared" si="6"/>
        <v>74X97M1000031</v>
      </c>
      <c r="B92" s="4" t="str">
        <f t="shared" si="7"/>
        <v>1-1</v>
      </c>
      <c r="C92" s="4">
        <v>1</v>
      </c>
      <c r="D92" s="4">
        <v>88</v>
      </c>
      <c r="E92" s="4" t="str" cm="1">
        <f t="array" ref="E92">_xlfn.XLOOKUP(A92&amp;B92&amp;$E$1&amp;"DPMB_SOCKET0__COMPUTE"&amp;C92&amp;"__CPU__CORE"&amp;Check!D92&amp;"__ML2_CR_MC3_STATUS"&amp;$B$1,core_mc[VisualId]&amp;core_mc[PPVRun_MC]&amp;core_mc[Lot]&amp;core_mc[TestNameWithoutNumeric],core_mc[TestValue],"")</f>
        <v/>
      </c>
      <c r="F92" s="4">
        <v>88</v>
      </c>
      <c r="G92" s="4" t="str" cm="1">
        <f t="array" ref="G92">_xlfn.XLOOKUP(A92&amp;B92&amp;$E$1&amp;"DPMB_SOCKET0__COMPUTE"&amp;C92&amp;"__UNCORE__CHA__CHA"&amp;Check!F92&amp;"__UTIL__MC_STATUS"&amp;$B$1,cha_mc[VisualId]&amp;cha_mc[PPVRun_MC]&amp;cha_mc[Lot]&amp;cha_mc[TestNameWithoutNumeric],cha_mc[TestValue],"")</f>
        <v/>
      </c>
      <c r="H92" s="4" t="str">
        <f t="shared" si="8"/>
        <v/>
      </c>
      <c r="AK92" s="4" t="str">
        <f t="shared" si="9"/>
        <v/>
      </c>
      <c r="AL92" s="4"/>
      <c r="AM92" s="4" t="str">
        <f t="shared" si="10"/>
        <v/>
      </c>
      <c r="AN92" s="4" t="str">
        <f>IFERROR(_xlfn.XLOOKUP(HEX2DEC(MID(AM92,LEN(AM92)-7,4)),mscod[MSCOD_BY_VAL],mscod[Description],""),"")</f>
        <v/>
      </c>
      <c r="AO92" s="4" t="str" cm="1">
        <f t="array" ref="AO92">_xlfn.XLOOKUP($K$1&amp;$Q$1&amp;"DPMB_SOCKET0__COMPUTE"&amp;AK92&amp;"__UNCORE__CHA__CHA"&amp;AL92&amp;"__UTIL__MC_ADDR"&amp;$B$1,cha_mc[VisualId]&amp;cha_mc[UnitTestingSeqKey]&amp;cha_mc[TestName],cha_mc[TestValue],"")</f>
        <v/>
      </c>
      <c r="AP92" s="4" t="str" cm="1">
        <f t="array" ref="AP92">_xlfn.XLOOKUP($K$1&amp;$Q$1&amp;"DPMB_SOCKET0__COMPUTE"&amp;AK92&amp;"__UNCORE__CHA__CHA"&amp;AL92&amp;"__UTIL__MC_MISC"&amp;$B$1,cha_mc[VisualId]&amp;cha_mc[UnitTestingSeqKey]&amp;cha_mc[TestName],cha_mc[TestValue],"")</f>
        <v/>
      </c>
      <c r="AQ92" s="30"/>
      <c r="AR92" s="30"/>
      <c r="AS92" s="30"/>
      <c r="AT92" s="30"/>
      <c r="AU92" s="30"/>
      <c r="AV92" s="4" t="str" cm="1">
        <f t="array" ref="AV92">_xlfn.XLOOKUP($K$1&amp;$Q$1&amp;"DPMB_SOCKET0__COMPUTE"&amp;AK92&amp;"__UNCORE__CHA__CHA"&amp;AL92&amp;"__UTIL__MC_MISC3"&amp;$B$1,cha_mc[VisualId]&amp;cha_mc[UnitTestingSeqKey]&amp;cha_mc[TestName],cha_mc[TestValue],"")</f>
        <v/>
      </c>
      <c r="AW92" s="30"/>
      <c r="AX92" s="30"/>
      <c r="AY92" s="30"/>
      <c r="AZ92" s="30"/>
      <c r="BA92" s="30"/>
    </row>
    <row r="93" spans="1:53" x14ac:dyDescent="0.3">
      <c r="A93" s="4" t="str">
        <f t="shared" si="6"/>
        <v>74X97M1000031</v>
      </c>
      <c r="B93" s="4" t="str">
        <f t="shared" si="7"/>
        <v>1-1</v>
      </c>
      <c r="C93" s="4">
        <v>1</v>
      </c>
      <c r="D93" s="4">
        <v>89</v>
      </c>
      <c r="E93" s="4" t="str" cm="1">
        <f t="array" ref="E93">_xlfn.XLOOKUP(A93&amp;B93&amp;$E$1&amp;"DPMB_SOCKET0__COMPUTE"&amp;C93&amp;"__CPU__CORE"&amp;Check!D93&amp;"__ML2_CR_MC3_STATUS"&amp;$B$1,core_mc[VisualId]&amp;core_mc[PPVRun_MC]&amp;core_mc[Lot]&amp;core_mc[TestNameWithoutNumeric],core_mc[TestValue],"")</f>
        <v/>
      </c>
      <c r="F93" s="4">
        <v>89</v>
      </c>
      <c r="G93" s="4" t="str" cm="1">
        <f t="array" ref="G93">_xlfn.XLOOKUP(A93&amp;B93&amp;$E$1&amp;"DPMB_SOCKET0__COMPUTE"&amp;C93&amp;"__UNCORE__CHA__CHA"&amp;Check!F93&amp;"__UTIL__MC_STATUS"&amp;$B$1,cha_mc[VisualId]&amp;cha_mc[PPVRun_MC]&amp;cha_mc[Lot]&amp;cha_mc[TestNameWithoutNumeric],cha_mc[TestValue],"")</f>
        <v/>
      </c>
      <c r="H93" s="4" t="str">
        <f t="shared" si="8"/>
        <v/>
      </c>
      <c r="AK93" s="4" t="str">
        <f t="shared" si="9"/>
        <v/>
      </c>
      <c r="AL93" s="4"/>
      <c r="AM93" s="4" t="str">
        <f t="shared" si="10"/>
        <v/>
      </c>
      <c r="AN93" s="4" t="str">
        <f>IFERROR(_xlfn.XLOOKUP(HEX2DEC(MID(AM93,LEN(AM93)-7,4)),mscod[MSCOD_BY_VAL],mscod[Description],""),"")</f>
        <v/>
      </c>
      <c r="AO93" s="4" t="str" cm="1">
        <f t="array" ref="AO93">_xlfn.XLOOKUP($K$1&amp;$Q$1&amp;"DPMB_SOCKET0__COMPUTE"&amp;AK93&amp;"__UNCORE__CHA__CHA"&amp;AL93&amp;"__UTIL__MC_ADDR"&amp;$B$1,cha_mc[VisualId]&amp;cha_mc[UnitTestingSeqKey]&amp;cha_mc[TestName],cha_mc[TestValue],"")</f>
        <v/>
      </c>
      <c r="AP93" s="4" t="str" cm="1">
        <f t="array" ref="AP93">_xlfn.XLOOKUP($K$1&amp;$Q$1&amp;"DPMB_SOCKET0__COMPUTE"&amp;AK93&amp;"__UNCORE__CHA__CHA"&amp;AL93&amp;"__UTIL__MC_MISC"&amp;$B$1,cha_mc[VisualId]&amp;cha_mc[UnitTestingSeqKey]&amp;cha_mc[TestName],cha_mc[TestValue],"")</f>
        <v/>
      </c>
      <c r="AQ93" s="30"/>
      <c r="AR93" s="30"/>
      <c r="AS93" s="30"/>
      <c r="AT93" s="30"/>
      <c r="AU93" s="30"/>
      <c r="AV93" s="4" t="str" cm="1">
        <f t="array" ref="AV93">_xlfn.XLOOKUP($K$1&amp;$Q$1&amp;"DPMB_SOCKET0__COMPUTE"&amp;AK93&amp;"__UNCORE__CHA__CHA"&amp;AL93&amp;"__UTIL__MC_MISC3"&amp;$B$1,cha_mc[VisualId]&amp;cha_mc[UnitTestingSeqKey]&amp;cha_mc[TestName],cha_mc[TestValue],"")</f>
        <v/>
      </c>
      <c r="AW93" s="30"/>
      <c r="AX93" s="30"/>
      <c r="AY93" s="30"/>
      <c r="AZ93" s="30"/>
      <c r="BA93" s="30"/>
    </row>
    <row r="94" spans="1:53" x14ac:dyDescent="0.3">
      <c r="A94" s="4" t="str">
        <f t="shared" si="6"/>
        <v>74X97M1000031</v>
      </c>
      <c r="B94" s="4" t="str">
        <f t="shared" si="7"/>
        <v>1-1</v>
      </c>
      <c r="C94" s="4">
        <v>1</v>
      </c>
      <c r="D94" s="4">
        <v>90</v>
      </c>
      <c r="E94" s="4" t="str" cm="1">
        <f t="array" ref="E94">_xlfn.XLOOKUP(A94&amp;B94&amp;$E$1&amp;"DPMB_SOCKET0__COMPUTE"&amp;C94&amp;"__CPU__CORE"&amp;Check!D94&amp;"__ML2_CR_MC3_STATUS"&amp;$B$1,core_mc[VisualId]&amp;core_mc[PPVRun_MC]&amp;core_mc[Lot]&amp;core_mc[TestNameWithoutNumeric],core_mc[TestValue],"")</f>
        <v/>
      </c>
      <c r="F94" s="4">
        <v>90</v>
      </c>
      <c r="G94" s="4" t="str" cm="1">
        <f t="array" ref="G94">_xlfn.XLOOKUP(A94&amp;B94&amp;$E$1&amp;"DPMB_SOCKET0__COMPUTE"&amp;C94&amp;"__UNCORE__CHA__CHA"&amp;Check!F94&amp;"__UTIL__MC_STATUS"&amp;$B$1,cha_mc[VisualId]&amp;cha_mc[PPVRun_MC]&amp;cha_mc[Lot]&amp;cha_mc[TestNameWithoutNumeric],cha_mc[TestValue],"")</f>
        <v/>
      </c>
      <c r="H94" s="4" t="str">
        <f t="shared" si="8"/>
        <v/>
      </c>
      <c r="AK94" s="4" t="str">
        <f t="shared" si="9"/>
        <v/>
      </c>
      <c r="AL94" s="4"/>
      <c r="AM94" s="4" t="str">
        <f t="shared" si="10"/>
        <v/>
      </c>
      <c r="AN94" s="4" t="str">
        <f>IFERROR(_xlfn.XLOOKUP(HEX2DEC(MID(AM94,LEN(AM94)-7,4)),mscod[MSCOD_BY_VAL],mscod[Description],""),"")</f>
        <v/>
      </c>
      <c r="AO94" s="4" t="str" cm="1">
        <f t="array" ref="AO94">_xlfn.XLOOKUP($K$1&amp;$Q$1&amp;"DPMB_SOCKET0__COMPUTE"&amp;AK94&amp;"__UNCORE__CHA__CHA"&amp;AL94&amp;"__UTIL__MC_ADDR"&amp;$B$1,cha_mc[VisualId]&amp;cha_mc[UnitTestingSeqKey]&amp;cha_mc[TestName],cha_mc[TestValue],"")</f>
        <v/>
      </c>
      <c r="AP94" s="4" t="str" cm="1">
        <f t="array" ref="AP94">_xlfn.XLOOKUP($K$1&amp;$Q$1&amp;"DPMB_SOCKET0__COMPUTE"&amp;AK94&amp;"__UNCORE__CHA__CHA"&amp;AL94&amp;"__UTIL__MC_MISC"&amp;$B$1,cha_mc[VisualId]&amp;cha_mc[UnitTestingSeqKey]&amp;cha_mc[TestName],cha_mc[TestValue],"")</f>
        <v/>
      </c>
      <c r="AQ94" s="30"/>
      <c r="AR94" s="30"/>
      <c r="AS94" s="30"/>
      <c r="AT94" s="30"/>
      <c r="AU94" s="30"/>
      <c r="AV94" s="4" t="str" cm="1">
        <f t="array" ref="AV94">_xlfn.XLOOKUP($K$1&amp;$Q$1&amp;"DPMB_SOCKET0__COMPUTE"&amp;AK94&amp;"__UNCORE__CHA__CHA"&amp;AL94&amp;"__UTIL__MC_MISC3"&amp;$B$1,cha_mc[VisualId]&amp;cha_mc[UnitTestingSeqKey]&amp;cha_mc[TestName],cha_mc[TestValue],"")</f>
        <v/>
      </c>
      <c r="AW94" s="30"/>
      <c r="AX94" s="30"/>
      <c r="AY94" s="30"/>
      <c r="AZ94" s="30"/>
      <c r="BA94" s="30"/>
    </row>
    <row r="95" spans="1:53" x14ac:dyDescent="0.3">
      <c r="A95" s="4" t="str">
        <f t="shared" si="6"/>
        <v>74X97M1000031</v>
      </c>
      <c r="B95" s="4" t="str">
        <f t="shared" si="7"/>
        <v>1-1</v>
      </c>
      <c r="C95" s="4">
        <v>1</v>
      </c>
      <c r="D95" s="4">
        <v>91</v>
      </c>
      <c r="E95" s="4" t="str" cm="1">
        <f t="array" ref="E95">_xlfn.XLOOKUP(A95&amp;B95&amp;$E$1&amp;"DPMB_SOCKET0__COMPUTE"&amp;C95&amp;"__CPU__CORE"&amp;Check!D95&amp;"__ML2_CR_MC3_STATUS"&amp;$B$1,core_mc[VisualId]&amp;core_mc[PPVRun_MC]&amp;core_mc[Lot]&amp;core_mc[TestNameWithoutNumeric],core_mc[TestValue],"")</f>
        <v/>
      </c>
      <c r="F95" s="4">
        <v>91</v>
      </c>
      <c r="G95" s="4" t="str" cm="1">
        <f t="array" ref="G95">_xlfn.XLOOKUP(A95&amp;B95&amp;$E$1&amp;"DPMB_SOCKET0__COMPUTE"&amp;C95&amp;"__UNCORE__CHA__CHA"&amp;Check!F95&amp;"__UTIL__MC_STATUS"&amp;$B$1,cha_mc[VisualId]&amp;cha_mc[PPVRun_MC]&amp;cha_mc[Lot]&amp;cha_mc[TestNameWithoutNumeric],cha_mc[TestValue],"")</f>
        <v/>
      </c>
      <c r="H95" s="4" t="str">
        <f t="shared" si="8"/>
        <v/>
      </c>
      <c r="AK95" s="4" t="str">
        <f t="shared" si="9"/>
        <v/>
      </c>
      <c r="AL95" s="4"/>
      <c r="AM95" s="4" t="str">
        <f t="shared" si="10"/>
        <v/>
      </c>
      <c r="AN95" s="4" t="str">
        <f>IFERROR(_xlfn.XLOOKUP(HEX2DEC(MID(AM95,LEN(AM95)-7,4)),mscod[MSCOD_BY_VAL],mscod[Description],""),"")</f>
        <v/>
      </c>
      <c r="AO95" s="4" t="str" cm="1">
        <f t="array" ref="AO95">_xlfn.XLOOKUP($K$1&amp;$Q$1&amp;"DPMB_SOCKET0__COMPUTE"&amp;AK95&amp;"__UNCORE__CHA__CHA"&amp;AL95&amp;"__UTIL__MC_ADDR"&amp;$B$1,cha_mc[VisualId]&amp;cha_mc[UnitTestingSeqKey]&amp;cha_mc[TestName],cha_mc[TestValue],"")</f>
        <v/>
      </c>
      <c r="AP95" s="4" t="str" cm="1">
        <f t="array" ref="AP95">_xlfn.XLOOKUP($K$1&amp;$Q$1&amp;"DPMB_SOCKET0__COMPUTE"&amp;AK95&amp;"__UNCORE__CHA__CHA"&amp;AL95&amp;"__UTIL__MC_MISC"&amp;$B$1,cha_mc[VisualId]&amp;cha_mc[UnitTestingSeqKey]&amp;cha_mc[TestName],cha_mc[TestValue],"")</f>
        <v/>
      </c>
      <c r="AQ95" s="30"/>
      <c r="AR95" s="30"/>
      <c r="AS95" s="30"/>
      <c r="AT95" s="30"/>
      <c r="AU95" s="30"/>
      <c r="AV95" s="4" t="str" cm="1">
        <f t="array" ref="AV95">_xlfn.XLOOKUP($K$1&amp;$Q$1&amp;"DPMB_SOCKET0__COMPUTE"&amp;AK95&amp;"__UNCORE__CHA__CHA"&amp;AL95&amp;"__UTIL__MC_MISC3"&amp;$B$1,cha_mc[VisualId]&amp;cha_mc[UnitTestingSeqKey]&amp;cha_mc[TestName],cha_mc[TestValue],"")</f>
        <v/>
      </c>
      <c r="AW95" s="30"/>
      <c r="AX95" s="30"/>
      <c r="AY95" s="30"/>
      <c r="AZ95" s="30"/>
      <c r="BA95" s="30"/>
    </row>
    <row r="96" spans="1:53" x14ac:dyDescent="0.3">
      <c r="A96" s="4" t="str">
        <f t="shared" si="6"/>
        <v>74X97M1000031</v>
      </c>
      <c r="B96" s="4" t="str">
        <f t="shared" si="7"/>
        <v>1-1</v>
      </c>
      <c r="C96" s="4">
        <v>1</v>
      </c>
      <c r="D96" s="4">
        <v>92</v>
      </c>
      <c r="E96" s="4" t="str" cm="1">
        <f t="array" ref="E96">_xlfn.XLOOKUP(A96&amp;B96&amp;$E$1&amp;"DPMB_SOCKET0__COMPUTE"&amp;C96&amp;"__CPU__CORE"&amp;Check!D96&amp;"__ML2_CR_MC3_STATUS"&amp;$B$1,core_mc[VisualId]&amp;core_mc[PPVRun_MC]&amp;core_mc[Lot]&amp;core_mc[TestNameWithoutNumeric],core_mc[TestValue],"")</f>
        <v/>
      </c>
      <c r="F96" s="4">
        <v>92</v>
      </c>
      <c r="G96" s="4" t="str" cm="1">
        <f t="array" ref="G96">_xlfn.XLOOKUP(A96&amp;B96&amp;$E$1&amp;"DPMB_SOCKET0__COMPUTE"&amp;C96&amp;"__UNCORE__CHA__CHA"&amp;Check!F96&amp;"__UTIL__MC_STATUS"&amp;$B$1,cha_mc[VisualId]&amp;cha_mc[PPVRun_MC]&amp;cha_mc[Lot]&amp;cha_mc[TestNameWithoutNumeric],cha_mc[TestValue],"")</f>
        <v/>
      </c>
      <c r="H96" s="4" t="str">
        <f t="shared" si="8"/>
        <v/>
      </c>
      <c r="AK96" s="4" t="str">
        <f t="shared" si="9"/>
        <v/>
      </c>
      <c r="AL96" s="4"/>
      <c r="AM96" s="4" t="str">
        <f t="shared" si="10"/>
        <v/>
      </c>
      <c r="AN96" s="4" t="str">
        <f>IFERROR(_xlfn.XLOOKUP(HEX2DEC(MID(AM96,LEN(AM96)-7,4)),mscod[MSCOD_BY_VAL],mscod[Description],""),"")</f>
        <v/>
      </c>
      <c r="AO96" s="4" t="str" cm="1">
        <f t="array" ref="AO96">_xlfn.XLOOKUP($K$1&amp;$Q$1&amp;"DPMB_SOCKET0__COMPUTE"&amp;AK96&amp;"__UNCORE__CHA__CHA"&amp;AL96&amp;"__UTIL__MC_ADDR"&amp;$B$1,cha_mc[VisualId]&amp;cha_mc[UnitTestingSeqKey]&amp;cha_mc[TestName],cha_mc[TestValue],"")</f>
        <v/>
      </c>
      <c r="AP96" s="4" t="str" cm="1">
        <f t="array" ref="AP96">_xlfn.XLOOKUP($K$1&amp;$Q$1&amp;"DPMB_SOCKET0__COMPUTE"&amp;AK96&amp;"__UNCORE__CHA__CHA"&amp;AL96&amp;"__UTIL__MC_MISC"&amp;$B$1,cha_mc[VisualId]&amp;cha_mc[UnitTestingSeqKey]&amp;cha_mc[TestName],cha_mc[TestValue],"")</f>
        <v/>
      </c>
      <c r="AQ96" s="30"/>
      <c r="AR96" s="30"/>
      <c r="AS96" s="30"/>
      <c r="AT96" s="30"/>
      <c r="AU96" s="30"/>
      <c r="AV96" s="4" t="str" cm="1">
        <f t="array" ref="AV96">_xlfn.XLOOKUP($K$1&amp;$Q$1&amp;"DPMB_SOCKET0__COMPUTE"&amp;AK96&amp;"__UNCORE__CHA__CHA"&amp;AL96&amp;"__UTIL__MC_MISC3"&amp;$B$1,cha_mc[VisualId]&amp;cha_mc[UnitTestingSeqKey]&amp;cha_mc[TestName],cha_mc[TestValue],"")</f>
        <v/>
      </c>
      <c r="AW96" s="30"/>
      <c r="AX96" s="30"/>
      <c r="AY96" s="30"/>
      <c r="AZ96" s="30"/>
      <c r="BA96" s="30"/>
    </row>
    <row r="97" spans="1:53" x14ac:dyDescent="0.3">
      <c r="A97" s="4" t="str">
        <f t="shared" si="6"/>
        <v>74X97M1000031</v>
      </c>
      <c r="B97" s="4" t="str">
        <f t="shared" si="7"/>
        <v>1-1</v>
      </c>
      <c r="C97" s="4">
        <v>1</v>
      </c>
      <c r="D97" s="4">
        <v>93</v>
      </c>
      <c r="E97" s="4" t="str" cm="1">
        <f t="array" ref="E97">_xlfn.XLOOKUP(A97&amp;B97&amp;$E$1&amp;"DPMB_SOCKET0__COMPUTE"&amp;C97&amp;"__CPU__CORE"&amp;Check!D97&amp;"__ML2_CR_MC3_STATUS"&amp;$B$1,core_mc[VisualId]&amp;core_mc[PPVRun_MC]&amp;core_mc[Lot]&amp;core_mc[TestNameWithoutNumeric],core_mc[TestValue],"")</f>
        <v/>
      </c>
      <c r="F97" s="4">
        <v>93</v>
      </c>
      <c r="G97" s="4" t="str" cm="1">
        <f t="array" ref="G97">_xlfn.XLOOKUP(A97&amp;B97&amp;$E$1&amp;"DPMB_SOCKET0__COMPUTE"&amp;C97&amp;"__UNCORE__CHA__CHA"&amp;Check!F97&amp;"__UTIL__MC_STATUS"&amp;$B$1,cha_mc[VisualId]&amp;cha_mc[PPVRun_MC]&amp;cha_mc[Lot]&amp;cha_mc[TestNameWithoutNumeric],cha_mc[TestValue],"")</f>
        <v/>
      </c>
      <c r="H97" s="4" t="str">
        <f t="shared" si="8"/>
        <v/>
      </c>
      <c r="AK97" s="4" t="str">
        <f t="shared" si="9"/>
        <v/>
      </c>
      <c r="AL97" s="4"/>
      <c r="AM97" s="4" t="str">
        <f t="shared" si="10"/>
        <v/>
      </c>
      <c r="AN97" s="4" t="str">
        <f>IFERROR(_xlfn.XLOOKUP(HEX2DEC(MID(AM97,LEN(AM97)-7,4)),mscod[MSCOD_BY_VAL],mscod[Description],""),"")</f>
        <v/>
      </c>
      <c r="AO97" s="4" t="str" cm="1">
        <f t="array" ref="AO97">_xlfn.XLOOKUP($K$1&amp;$Q$1&amp;"DPMB_SOCKET0__COMPUTE"&amp;AK97&amp;"__UNCORE__CHA__CHA"&amp;AL97&amp;"__UTIL__MC_ADDR"&amp;$B$1,cha_mc[VisualId]&amp;cha_mc[UnitTestingSeqKey]&amp;cha_mc[TestName],cha_mc[TestValue],"")</f>
        <v/>
      </c>
      <c r="AP97" s="4" t="str" cm="1">
        <f t="array" ref="AP97">_xlfn.XLOOKUP($K$1&amp;$Q$1&amp;"DPMB_SOCKET0__COMPUTE"&amp;AK97&amp;"__UNCORE__CHA__CHA"&amp;AL97&amp;"__UTIL__MC_MISC"&amp;$B$1,cha_mc[VisualId]&amp;cha_mc[UnitTestingSeqKey]&amp;cha_mc[TestName],cha_mc[TestValue],"")</f>
        <v/>
      </c>
      <c r="AQ97" s="30"/>
      <c r="AR97" s="30"/>
      <c r="AS97" s="30"/>
      <c r="AT97" s="30"/>
      <c r="AU97" s="30"/>
      <c r="AV97" s="4" t="str" cm="1">
        <f t="array" ref="AV97">_xlfn.XLOOKUP($K$1&amp;$Q$1&amp;"DPMB_SOCKET0__COMPUTE"&amp;AK97&amp;"__UNCORE__CHA__CHA"&amp;AL97&amp;"__UTIL__MC_MISC3"&amp;$B$1,cha_mc[VisualId]&amp;cha_mc[UnitTestingSeqKey]&amp;cha_mc[TestName],cha_mc[TestValue],"")</f>
        <v/>
      </c>
      <c r="AW97" s="30"/>
      <c r="AX97" s="30"/>
      <c r="AY97" s="30"/>
      <c r="AZ97" s="30"/>
      <c r="BA97" s="30"/>
    </row>
    <row r="98" spans="1:53" x14ac:dyDescent="0.3">
      <c r="A98" s="4" t="str">
        <f t="shared" si="6"/>
        <v>74X97M1000031</v>
      </c>
      <c r="B98" s="4" t="str">
        <f t="shared" si="7"/>
        <v>1-1</v>
      </c>
      <c r="C98" s="4">
        <v>1</v>
      </c>
      <c r="D98" s="4">
        <v>94</v>
      </c>
      <c r="E98" s="4" t="str" cm="1">
        <f t="array" ref="E98">_xlfn.XLOOKUP(A98&amp;B98&amp;$E$1&amp;"DPMB_SOCKET0__COMPUTE"&amp;C98&amp;"__CPU__CORE"&amp;Check!D98&amp;"__ML2_CR_MC3_STATUS"&amp;$B$1,core_mc[VisualId]&amp;core_mc[PPVRun_MC]&amp;core_mc[Lot]&amp;core_mc[TestNameWithoutNumeric],core_mc[TestValue],"")</f>
        <v/>
      </c>
      <c r="F98" s="4">
        <v>94</v>
      </c>
      <c r="G98" s="4" t="str" cm="1">
        <f t="array" ref="G98">_xlfn.XLOOKUP(A98&amp;B98&amp;$E$1&amp;"DPMB_SOCKET0__COMPUTE"&amp;C98&amp;"__UNCORE__CHA__CHA"&amp;Check!F98&amp;"__UTIL__MC_STATUS"&amp;$B$1,cha_mc[VisualId]&amp;cha_mc[PPVRun_MC]&amp;cha_mc[Lot]&amp;cha_mc[TestNameWithoutNumeric],cha_mc[TestValue],"")</f>
        <v/>
      </c>
      <c r="H98" s="4" t="str">
        <f t="shared" si="8"/>
        <v/>
      </c>
      <c r="AK98" s="4" t="str">
        <f t="shared" si="9"/>
        <v/>
      </c>
      <c r="AL98" s="4"/>
      <c r="AM98" s="4" t="str">
        <f t="shared" si="10"/>
        <v/>
      </c>
      <c r="AN98" s="4" t="str">
        <f>IFERROR(_xlfn.XLOOKUP(HEX2DEC(MID(AM98,LEN(AM98)-7,4)),mscod[MSCOD_BY_VAL],mscod[Description],""),"")</f>
        <v/>
      </c>
      <c r="AO98" s="4" t="str" cm="1">
        <f t="array" ref="AO98">_xlfn.XLOOKUP($K$1&amp;$Q$1&amp;"DPMB_SOCKET0__COMPUTE"&amp;AK98&amp;"__UNCORE__CHA__CHA"&amp;AL98&amp;"__UTIL__MC_ADDR"&amp;$B$1,cha_mc[VisualId]&amp;cha_mc[UnitTestingSeqKey]&amp;cha_mc[TestName],cha_mc[TestValue],"")</f>
        <v/>
      </c>
      <c r="AP98" s="4" t="str" cm="1">
        <f t="array" ref="AP98">_xlfn.XLOOKUP($K$1&amp;$Q$1&amp;"DPMB_SOCKET0__COMPUTE"&amp;AK98&amp;"__UNCORE__CHA__CHA"&amp;AL98&amp;"__UTIL__MC_MISC"&amp;$B$1,cha_mc[VisualId]&amp;cha_mc[UnitTestingSeqKey]&amp;cha_mc[TestName],cha_mc[TestValue],"")</f>
        <v/>
      </c>
      <c r="AQ98" s="30"/>
      <c r="AR98" s="30"/>
      <c r="AS98" s="30"/>
      <c r="AT98" s="30"/>
      <c r="AU98" s="30"/>
      <c r="AV98" s="4" t="str" cm="1">
        <f t="array" ref="AV98">_xlfn.XLOOKUP($K$1&amp;$Q$1&amp;"DPMB_SOCKET0__COMPUTE"&amp;AK98&amp;"__UNCORE__CHA__CHA"&amp;AL98&amp;"__UTIL__MC_MISC3"&amp;$B$1,cha_mc[VisualId]&amp;cha_mc[UnitTestingSeqKey]&amp;cha_mc[TestName],cha_mc[TestValue],"")</f>
        <v/>
      </c>
      <c r="AW98" s="30"/>
      <c r="AX98" s="30"/>
      <c r="AY98" s="30"/>
      <c r="AZ98" s="30"/>
      <c r="BA98" s="30"/>
    </row>
    <row r="99" spans="1:53" x14ac:dyDescent="0.3">
      <c r="A99" s="4" t="str">
        <f t="shared" si="6"/>
        <v>74X97M1000031</v>
      </c>
      <c r="B99" s="4" t="str">
        <f t="shared" si="7"/>
        <v>1-1</v>
      </c>
      <c r="C99" s="4">
        <v>1</v>
      </c>
      <c r="D99" s="4">
        <v>95</v>
      </c>
      <c r="E99" s="4" t="str" cm="1">
        <f t="array" ref="E99">_xlfn.XLOOKUP(A99&amp;B99&amp;$E$1&amp;"DPMB_SOCKET0__COMPUTE"&amp;C99&amp;"__CPU__CORE"&amp;Check!D99&amp;"__ML2_CR_MC3_STATUS"&amp;$B$1,core_mc[VisualId]&amp;core_mc[PPVRun_MC]&amp;core_mc[Lot]&amp;core_mc[TestNameWithoutNumeric],core_mc[TestValue],"")</f>
        <v/>
      </c>
      <c r="F99" s="4">
        <v>95</v>
      </c>
      <c r="G99" s="4" t="str" cm="1">
        <f t="array" ref="G99">_xlfn.XLOOKUP(A99&amp;B99&amp;$E$1&amp;"DPMB_SOCKET0__COMPUTE"&amp;C99&amp;"__UNCORE__CHA__CHA"&amp;Check!F99&amp;"__UTIL__MC_STATUS"&amp;$B$1,cha_mc[VisualId]&amp;cha_mc[PPVRun_MC]&amp;cha_mc[Lot]&amp;cha_mc[TestNameWithoutNumeric],cha_mc[TestValue],"")</f>
        <v/>
      </c>
      <c r="H99" s="4" t="str">
        <f t="shared" si="8"/>
        <v/>
      </c>
      <c r="AK99" s="4" t="str">
        <f t="shared" si="9"/>
        <v/>
      </c>
      <c r="AL99" s="4"/>
      <c r="AM99" s="4" t="str">
        <f t="shared" si="10"/>
        <v/>
      </c>
      <c r="AN99" s="4" t="str">
        <f>IFERROR(_xlfn.XLOOKUP(HEX2DEC(MID(AM99,LEN(AM99)-7,4)),mscod[MSCOD_BY_VAL],mscod[Description],""),"")</f>
        <v/>
      </c>
      <c r="AO99" s="4" t="str" cm="1">
        <f t="array" ref="AO99">_xlfn.XLOOKUP($K$1&amp;$Q$1&amp;"DPMB_SOCKET0__COMPUTE"&amp;AK99&amp;"__UNCORE__CHA__CHA"&amp;AL99&amp;"__UTIL__MC_ADDR"&amp;$B$1,cha_mc[VisualId]&amp;cha_mc[UnitTestingSeqKey]&amp;cha_mc[TestName],cha_mc[TestValue],"")</f>
        <v/>
      </c>
      <c r="AP99" s="4" t="str" cm="1">
        <f t="array" ref="AP99">_xlfn.XLOOKUP($K$1&amp;$Q$1&amp;"DPMB_SOCKET0__COMPUTE"&amp;AK99&amp;"__UNCORE__CHA__CHA"&amp;AL99&amp;"__UTIL__MC_MISC"&amp;$B$1,cha_mc[VisualId]&amp;cha_mc[UnitTestingSeqKey]&amp;cha_mc[TestName],cha_mc[TestValue],"")</f>
        <v/>
      </c>
      <c r="AQ99" s="30"/>
      <c r="AR99" s="30"/>
      <c r="AS99" s="30"/>
      <c r="AT99" s="30"/>
      <c r="AU99" s="30"/>
      <c r="AV99" s="4" t="str" cm="1">
        <f t="array" ref="AV99">_xlfn.XLOOKUP($K$1&amp;$Q$1&amp;"DPMB_SOCKET0__COMPUTE"&amp;AK99&amp;"__UNCORE__CHA__CHA"&amp;AL99&amp;"__UTIL__MC_MISC3"&amp;$B$1,cha_mc[VisualId]&amp;cha_mc[UnitTestingSeqKey]&amp;cha_mc[TestName],cha_mc[TestValue],"")</f>
        <v/>
      </c>
      <c r="AW99" s="30"/>
      <c r="AX99" s="30"/>
      <c r="AY99" s="30"/>
      <c r="AZ99" s="30"/>
      <c r="BA99" s="30"/>
    </row>
    <row r="100" spans="1:53" x14ac:dyDescent="0.3">
      <c r="A100" s="4" t="str">
        <f t="shared" ref="A100:A131" si="11">$K$1</f>
        <v>74X97M1000031</v>
      </c>
      <c r="B100" s="4" t="str">
        <f t="shared" si="7"/>
        <v>1-1</v>
      </c>
      <c r="C100" s="4">
        <v>1</v>
      </c>
      <c r="D100" s="4">
        <v>96</v>
      </c>
      <c r="E100" s="4" t="str" cm="1">
        <f t="array" ref="E100">_xlfn.XLOOKUP(A100&amp;B100&amp;$E$1&amp;"DPMB_SOCKET0__COMPUTE"&amp;C100&amp;"__CPU__CORE"&amp;Check!D100&amp;"__ML2_CR_MC3_STATUS"&amp;$B$1,core_mc[VisualId]&amp;core_mc[PPVRun_MC]&amp;core_mc[Lot]&amp;core_mc[TestNameWithoutNumeric],core_mc[TestValue],"")</f>
        <v/>
      </c>
      <c r="F100" s="4">
        <v>96</v>
      </c>
      <c r="G100" s="4" t="str" cm="1">
        <f t="array" ref="G100">_xlfn.XLOOKUP(A100&amp;B100&amp;$E$1&amp;"DPMB_SOCKET0__COMPUTE"&amp;C100&amp;"__UNCORE__CHA__CHA"&amp;Check!F100&amp;"__UTIL__MC_STATUS"&amp;$B$1,cha_mc[VisualId]&amp;cha_mc[PPVRun_MC]&amp;cha_mc[Lot]&amp;cha_mc[TestNameWithoutNumeric],cha_mc[TestValue],"")</f>
        <v/>
      </c>
      <c r="H100" s="4" t="str">
        <f t="shared" si="8"/>
        <v/>
      </c>
      <c r="AK100" s="4" t="str">
        <f t="shared" si="9"/>
        <v/>
      </c>
      <c r="AL100" s="4"/>
      <c r="AM100" s="4" t="str">
        <f t="shared" si="10"/>
        <v/>
      </c>
      <c r="AN100" s="4" t="str">
        <f>IFERROR(_xlfn.XLOOKUP(HEX2DEC(MID(AM100,LEN(AM100)-7,4)),mscod[MSCOD_BY_VAL],mscod[Description],""),"")</f>
        <v/>
      </c>
      <c r="AO100" s="4" t="str" cm="1">
        <f t="array" ref="AO100">_xlfn.XLOOKUP($K$1&amp;$Q$1&amp;"DPMB_SOCKET0__COMPUTE"&amp;AK100&amp;"__UNCORE__CHA__CHA"&amp;AL100&amp;"__UTIL__MC_ADDR"&amp;$B$1,cha_mc[VisualId]&amp;cha_mc[UnitTestingSeqKey]&amp;cha_mc[TestName],cha_mc[TestValue],"")</f>
        <v/>
      </c>
      <c r="AP100" s="4" t="str" cm="1">
        <f t="array" ref="AP100">_xlfn.XLOOKUP($K$1&amp;$Q$1&amp;"DPMB_SOCKET0__COMPUTE"&amp;AK100&amp;"__UNCORE__CHA__CHA"&amp;AL100&amp;"__UTIL__MC_MISC"&amp;$B$1,cha_mc[VisualId]&amp;cha_mc[UnitTestingSeqKey]&amp;cha_mc[TestName],cha_mc[TestValue],"")</f>
        <v/>
      </c>
      <c r="AQ100" s="30"/>
      <c r="AR100" s="30"/>
      <c r="AS100" s="30"/>
      <c r="AT100" s="30"/>
      <c r="AU100" s="30"/>
      <c r="AV100" s="4" t="str" cm="1">
        <f t="array" ref="AV100">_xlfn.XLOOKUP($K$1&amp;$Q$1&amp;"DPMB_SOCKET0__COMPUTE"&amp;AK100&amp;"__UNCORE__CHA__CHA"&amp;AL100&amp;"__UTIL__MC_MISC3"&amp;$B$1,cha_mc[VisualId]&amp;cha_mc[UnitTestingSeqKey]&amp;cha_mc[TestName],cha_mc[TestValue],"")</f>
        <v/>
      </c>
      <c r="AW100" s="30"/>
      <c r="AX100" s="30"/>
      <c r="AY100" s="30"/>
      <c r="AZ100" s="30"/>
      <c r="BA100" s="30"/>
    </row>
    <row r="101" spans="1:53" x14ac:dyDescent="0.3">
      <c r="A101" s="4" t="str">
        <f t="shared" si="11"/>
        <v>74X97M1000031</v>
      </c>
      <c r="B101" s="4" t="str">
        <f t="shared" si="7"/>
        <v>1-1</v>
      </c>
      <c r="C101" s="4">
        <v>1</v>
      </c>
      <c r="D101" s="4">
        <v>97</v>
      </c>
      <c r="E101" s="4" t="str" cm="1">
        <f t="array" ref="E101">_xlfn.XLOOKUP(A101&amp;B101&amp;$E$1&amp;"DPMB_SOCKET0__COMPUTE"&amp;C101&amp;"__CPU__CORE"&amp;Check!D101&amp;"__ML2_CR_MC3_STATUS"&amp;$B$1,core_mc[VisualId]&amp;core_mc[PPVRun_MC]&amp;core_mc[Lot]&amp;core_mc[TestNameWithoutNumeric],core_mc[TestValue],"")</f>
        <v/>
      </c>
      <c r="F101" s="4">
        <v>97</v>
      </c>
      <c r="G101" s="4" t="str" cm="1">
        <f t="array" ref="G101">_xlfn.XLOOKUP(A101&amp;B101&amp;$E$1&amp;"DPMB_SOCKET0__COMPUTE"&amp;C101&amp;"__UNCORE__CHA__CHA"&amp;Check!F101&amp;"__UTIL__MC_STATUS"&amp;$B$1,cha_mc[VisualId]&amp;cha_mc[PPVRun_MC]&amp;cha_mc[Lot]&amp;cha_mc[TestNameWithoutNumeric],cha_mc[TestValue],"")</f>
        <v/>
      </c>
      <c r="H101" s="4" t="str">
        <f t="shared" si="8"/>
        <v/>
      </c>
      <c r="AK101" s="4" t="str">
        <f t="shared" si="9"/>
        <v/>
      </c>
      <c r="AL101" s="4"/>
      <c r="AM101" s="4" t="str">
        <f t="shared" si="10"/>
        <v/>
      </c>
      <c r="AN101" s="4" t="str">
        <f>IFERROR(_xlfn.XLOOKUP(HEX2DEC(MID(AM101,LEN(AM101)-7,4)),mscod[MSCOD_BY_VAL],mscod[Description],""),"")</f>
        <v/>
      </c>
      <c r="AO101" s="4" t="str" cm="1">
        <f t="array" ref="AO101">_xlfn.XLOOKUP($K$1&amp;$Q$1&amp;"DPMB_SOCKET0__COMPUTE"&amp;AK101&amp;"__UNCORE__CHA__CHA"&amp;AL101&amp;"__UTIL__MC_ADDR"&amp;$B$1,cha_mc[VisualId]&amp;cha_mc[UnitTestingSeqKey]&amp;cha_mc[TestName],cha_mc[TestValue],"")</f>
        <v/>
      </c>
      <c r="AP101" s="4" t="str" cm="1">
        <f t="array" ref="AP101">_xlfn.XLOOKUP($K$1&amp;$Q$1&amp;"DPMB_SOCKET0__COMPUTE"&amp;AK101&amp;"__UNCORE__CHA__CHA"&amp;AL101&amp;"__UTIL__MC_MISC"&amp;$B$1,cha_mc[VisualId]&amp;cha_mc[UnitTestingSeqKey]&amp;cha_mc[TestName],cha_mc[TestValue],"")</f>
        <v/>
      </c>
      <c r="AQ101" s="30"/>
      <c r="AR101" s="30"/>
      <c r="AS101" s="30"/>
      <c r="AT101" s="30"/>
      <c r="AU101" s="30"/>
      <c r="AV101" s="4" t="str" cm="1">
        <f t="array" ref="AV101">_xlfn.XLOOKUP($K$1&amp;$Q$1&amp;"DPMB_SOCKET0__COMPUTE"&amp;AK101&amp;"__UNCORE__CHA__CHA"&amp;AL101&amp;"__UTIL__MC_MISC3"&amp;$B$1,cha_mc[VisualId]&amp;cha_mc[UnitTestingSeqKey]&amp;cha_mc[TestName],cha_mc[TestValue],"")</f>
        <v/>
      </c>
      <c r="AW101" s="30"/>
      <c r="AX101" s="30"/>
      <c r="AY101" s="30"/>
      <c r="AZ101" s="30"/>
      <c r="BA101" s="30"/>
    </row>
    <row r="102" spans="1:53" x14ac:dyDescent="0.3">
      <c r="A102" s="4" t="str">
        <f t="shared" si="11"/>
        <v>74X97M1000031</v>
      </c>
      <c r="B102" s="4" t="str">
        <f t="shared" si="7"/>
        <v>1-1</v>
      </c>
      <c r="C102" s="4">
        <v>1</v>
      </c>
      <c r="D102" s="4">
        <v>98</v>
      </c>
      <c r="E102" s="4" t="str" cm="1">
        <f t="array" ref="E102">_xlfn.XLOOKUP(A102&amp;B102&amp;$E$1&amp;"DPMB_SOCKET0__COMPUTE"&amp;C102&amp;"__CPU__CORE"&amp;Check!D102&amp;"__ML2_CR_MC3_STATUS"&amp;$B$1,core_mc[VisualId]&amp;core_mc[PPVRun_MC]&amp;core_mc[Lot]&amp;core_mc[TestNameWithoutNumeric],core_mc[TestValue],"")</f>
        <v/>
      </c>
      <c r="F102" s="4">
        <v>98</v>
      </c>
      <c r="G102" s="4" t="str" cm="1">
        <f t="array" ref="G102">_xlfn.XLOOKUP(A102&amp;B102&amp;$E$1&amp;"DPMB_SOCKET0__COMPUTE"&amp;C102&amp;"__UNCORE__CHA__CHA"&amp;Check!F102&amp;"__UTIL__MC_STATUS"&amp;$B$1,cha_mc[VisualId]&amp;cha_mc[PPVRun_MC]&amp;cha_mc[Lot]&amp;cha_mc[TestNameWithoutNumeric],cha_mc[TestValue],"")</f>
        <v/>
      </c>
      <c r="H102" s="4" t="str">
        <f t="shared" si="8"/>
        <v/>
      </c>
      <c r="AK102" s="4" t="str">
        <f t="shared" si="9"/>
        <v/>
      </c>
      <c r="AL102" s="4"/>
      <c r="AM102" s="4" t="str">
        <f t="shared" si="10"/>
        <v/>
      </c>
      <c r="AN102" s="4" t="str">
        <f>IFERROR(_xlfn.XLOOKUP(HEX2DEC(MID(AM102,LEN(AM102)-7,4)),mscod[MSCOD_BY_VAL],mscod[Description],""),"")</f>
        <v/>
      </c>
      <c r="AO102" s="4" t="str" cm="1">
        <f t="array" ref="AO102">_xlfn.XLOOKUP($K$1&amp;$Q$1&amp;"DPMB_SOCKET0__COMPUTE"&amp;AK102&amp;"__UNCORE__CHA__CHA"&amp;AL102&amp;"__UTIL__MC_ADDR"&amp;$B$1,cha_mc[VisualId]&amp;cha_mc[UnitTestingSeqKey]&amp;cha_mc[TestName],cha_mc[TestValue],"")</f>
        <v/>
      </c>
      <c r="AP102" s="4" t="str" cm="1">
        <f t="array" ref="AP102">_xlfn.XLOOKUP($K$1&amp;$Q$1&amp;"DPMB_SOCKET0__COMPUTE"&amp;AK102&amp;"__UNCORE__CHA__CHA"&amp;AL102&amp;"__UTIL__MC_MISC"&amp;$B$1,cha_mc[VisualId]&amp;cha_mc[UnitTestingSeqKey]&amp;cha_mc[TestName],cha_mc[TestValue],"")</f>
        <v/>
      </c>
      <c r="AQ102" s="30"/>
      <c r="AR102" s="30"/>
      <c r="AS102" s="30"/>
      <c r="AT102" s="30"/>
      <c r="AU102" s="30"/>
      <c r="AV102" s="4" t="str" cm="1">
        <f t="array" ref="AV102">_xlfn.XLOOKUP($K$1&amp;$Q$1&amp;"DPMB_SOCKET0__COMPUTE"&amp;AK102&amp;"__UNCORE__CHA__CHA"&amp;AL102&amp;"__UTIL__MC_MISC3"&amp;$B$1,cha_mc[VisualId]&amp;cha_mc[UnitTestingSeqKey]&amp;cha_mc[TestName],cha_mc[TestValue],"")</f>
        <v/>
      </c>
      <c r="AW102" s="30"/>
      <c r="AX102" s="30"/>
      <c r="AY102" s="30"/>
      <c r="AZ102" s="30"/>
      <c r="BA102" s="30"/>
    </row>
    <row r="103" spans="1:53" x14ac:dyDescent="0.3">
      <c r="A103" s="4" t="str">
        <f t="shared" si="11"/>
        <v>74X97M1000031</v>
      </c>
      <c r="B103" s="4" t="str">
        <f t="shared" si="7"/>
        <v>1-1</v>
      </c>
      <c r="C103" s="4">
        <v>1</v>
      </c>
      <c r="D103" s="4">
        <v>99</v>
      </c>
      <c r="E103" s="4" t="str" cm="1">
        <f t="array" ref="E103">_xlfn.XLOOKUP(A103&amp;B103&amp;$E$1&amp;"DPMB_SOCKET0__COMPUTE"&amp;C103&amp;"__CPU__CORE"&amp;Check!D103&amp;"__ML2_CR_MC3_STATUS"&amp;$B$1,core_mc[VisualId]&amp;core_mc[PPVRun_MC]&amp;core_mc[Lot]&amp;core_mc[TestNameWithoutNumeric],core_mc[TestValue],"")</f>
        <v/>
      </c>
      <c r="F103" s="4">
        <v>99</v>
      </c>
      <c r="G103" s="4" t="str" cm="1">
        <f t="array" ref="G103">_xlfn.XLOOKUP(A103&amp;B103&amp;$E$1&amp;"DPMB_SOCKET0__COMPUTE"&amp;C103&amp;"__UNCORE__CHA__CHA"&amp;Check!F103&amp;"__UTIL__MC_STATUS"&amp;$B$1,cha_mc[VisualId]&amp;cha_mc[PPVRun_MC]&amp;cha_mc[Lot]&amp;cha_mc[TestNameWithoutNumeric],cha_mc[TestValue],"")</f>
        <v/>
      </c>
      <c r="H103" s="4" t="str">
        <f t="shared" si="8"/>
        <v/>
      </c>
      <c r="AK103" s="4" t="str">
        <f t="shared" si="9"/>
        <v/>
      </c>
      <c r="AL103" s="4"/>
      <c r="AM103" s="4" t="str">
        <f t="shared" si="10"/>
        <v/>
      </c>
      <c r="AN103" s="4" t="str">
        <f>IFERROR(_xlfn.XLOOKUP(HEX2DEC(MID(AM103,LEN(AM103)-7,4)),mscod[MSCOD_BY_VAL],mscod[Description],""),"")</f>
        <v/>
      </c>
      <c r="AO103" s="4" t="str" cm="1">
        <f t="array" ref="AO103">_xlfn.XLOOKUP($K$1&amp;$Q$1&amp;"DPMB_SOCKET0__COMPUTE"&amp;AK103&amp;"__UNCORE__CHA__CHA"&amp;AL103&amp;"__UTIL__MC_ADDR"&amp;$B$1,cha_mc[VisualId]&amp;cha_mc[UnitTestingSeqKey]&amp;cha_mc[TestName],cha_mc[TestValue],"")</f>
        <v/>
      </c>
      <c r="AP103" s="4" t="str" cm="1">
        <f t="array" ref="AP103">_xlfn.XLOOKUP($K$1&amp;$Q$1&amp;"DPMB_SOCKET0__COMPUTE"&amp;AK103&amp;"__UNCORE__CHA__CHA"&amp;AL103&amp;"__UTIL__MC_MISC"&amp;$B$1,cha_mc[VisualId]&amp;cha_mc[UnitTestingSeqKey]&amp;cha_mc[TestName],cha_mc[TestValue],"")</f>
        <v/>
      </c>
      <c r="AQ103" s="30"/>
      <c r="AR103" s="30"/>
      <c r="AS103" s="30"/>
      <c r="AT103" s="30"/>
      <c r="AU103" s="30"/>
      <c r="AV103" s="4" t="str" cm="1">
        <f t="array" ref="AV103">_xlfn.XLOOKUP($K$1&amp;$Q$1&amp;"DPMB_SOCKET0__COMPUTE"&amp;AK103&amp;"__UNCORE__CHA__CHA"&amp;AL103&amp;"__UTIL__MC_MISC3"&amp;$B$1,cha_mc[VisualId]&amp;cha_mc[UnitTestingSeqKey]&amp;cha_mc[TestName],cha_mc[TestValue],"")</f>
        <v/>
      </c>
      <c r="AW103" s="30"/>
      <c r="AX103" s="30"/>
      <c r="AY103" s="30"/>
      <c r="AZ103" s="30"/>
      <c r="BA103" s="30"/>
    </row>
    <row r="104" spans="1:53" x14ac:dyDescent="0.3">
      <c r="A104" s="4" t="str">
        <f t="shared" si="11"/>
        <v>74X97M1000031</v>
      </c>
      <c r="B104" s="4" t="str">
        <f t="shared" si="7"/>
        <v>1-1</v>
      </c>
      <c r="C104" s="4">
        <v>1</v>
      </c>
      <c r="D104" s="4">
        <v>100</v>
      </c>
      <c r="E104" s="4" t="str" cm="1">
        <f t="array" ref="E104">_xlfn.XLOOKUP(A104&amp;B104&amp;$E$1&amp;"DPMB_SOCKET0__COMPUTE"&amp;C104&amp;"__CPU__CORE"&amp;Check!D104&amp;"__ML2_CR_MC3_STATUS"&amp;$B$1,core_mc[VisualId]&amp;core_mc[PPVRun_MC]&amp;core_mc[Lot]&amp;core_mc[TestNameWithoutNumeric],core_mc[TestValue],"")</f>
        <v/>
      </c>
      <c r="F104" s="4">
        <v>100</v>
      </c>
      <c r="G104" s="4" t="str" cm="1">
        <f t="array" ref="G104">_xlfn.XLOOKUP(A104&amp;B104&amp;$E$1&amp;"DPMB_SOCKET0__COMPUTE"&amp;C104&amp;"__UNCORE__CHA__CHA"&amp;Check!F104&amp;"__UTIL__MC_STATUS"&amp;$B$1,cha_mc[VisualId]&amp;cha_mc[PPVRun_MC]&amp;cha_mc[Lot]&amp;cha_mc[TestNameWithoutNumeric],cha_mc[TestValue],"")</f>
        <v/>
      </c>
      <c r="H104" s="4" t="str">
        <f t="shared" si="8"/>
        <v/>
      </c>
      <c r="AK104" s="4" t="str">
        <f t="shared" si="9"/>
        <v/>
      </c>
      <c r="AL104" s="4"/>
      <c r="AM104" s="4" t="str">
        <f t="shared" si="10"/>
        <v/>
      </c>
      <c r="AN104" s="4" t="str">
        <f>IFERROR(_xlfn.XLOOKUP(HEX2DEC(MID(AM104,LEN(AM104)-7,4)),mscod[MSCOD_BY_VAL],mscod[Description],""),"")</f>
        <v/>
      </c>
      <c r="AO104" s="4" t="str" cm="1">
        <f t="array" ref="AO104">_xlfn.XLOOKUP($K$1&amp;$Q$1&amp;"DPMB_SOCKET0__COMPUTE"&amp;AK104&amp;"__UNCORE__CHA__CHA"&amp;AL104&amp;"__UTIL__MC_ADDR"&amp;$B$1,cha_mc[VisualId]&amp;cha_mc[UnitTestingSeqKey]&amp;cha_mc[TestName],cha_mc[TestValue],"")</f>
        <v/>
      </c>
      <c r="AP104" s="4" t="str" cm="1">
        <f t="array" ref="AP104">_xlfn.XLOOKUP($K$1&amp;$Q$1&amp;"DPMB_SOCKET0__COMPUTE"&amp;AK104&amp;"__UNCORE__CHA__CHA"&amp;AL104&amp;"__UTIL__MC_MISC"&amp;$B$1,cha_mc[VisualId]&amp;cha_mc[UnitTestingSeqKey]&amp;cha_mc[TestName],cha_mc[TestValue],"")</f>
        <v/>
      </c>
      <c r="AQ104" s="30"/>
      <c r="AR104" s="30"/>
      <c r="AS104" s="30"/>
      <c r="AT104" s="30"/>
      <c r="AU104" s="30"/>
      <c r="AV104" s="4" t="str" cm="1">
        <f t="array" ref="AV104">_xlfn.XLOOKUP($K$1&amp;$Q$1&amp;"DPMB_SOCKET0__COMPUTE"&amp;AK104&amp;"__UNCORE__CHA__CHA"&amp;AL104&amp;"__UTIL__MC_MISC3"&amp;$B$1,cha_mc[VisualId]&amp;cha_mc[UnitTestingSeqKey]&amp;cha_mc[TestName],cha_mc[TestValue],"")</f>
        <v/>
      </c>
      <c r="AW104" s="30"/>
      <c r="AX104" s="30"/>
      <c r="AY104" s="30"/>
      <c r="AZ104" s="30"/>
      <c r="BA104" s="30"/>
    </row>
    <row r="105" spans="1:53" x14ac:dyDescent="0.3">
      <c r="A105" s="4" t="str">
        <f t="shared" si="11"/>
        <v>74X97M1000031</v>
      </c>
      <c r="B105" s="4" t="str">
        <f t="shared" si="7"/>
        <v>1-1</v>
      </c>
      <c r="C105" s="4">
        <v>1</v>
      </c>
      <c r="D105" s="4">
        <v>101</v>
      </c>
      <c r="E105" s="4" t="str" cm="1">
        <f t="array" ref="E105">_xlfn.XLOOKUP(A105&amp;B105&amp;$E$1&amp;"DPMB_SOCKET0__COMPUTE"&amp;C105&amp;"__CPU__CORE"&amp;Check!D105&amp;"__ML2_CR_MC3_STATUS"&amp;$B$1,core_mc[VisualId]&amp;core_mc[PPVRun_MC]&amp;core_mc[Lot]&amp;core_mc[TestNameWithoutNumeric],core_mc[TestValue],"")</f>
        <v/>
      </c>
      <c r="F105" s="4">
        <v>101</v>
      </c>
      <c r="G105" s="4" t="str" cm="1">
        <f t="array" ref="G105">_xlfn.XLOOKUP(A105&amp;B105&amp;$E$1&amp;"DPMB_SOCKET0__COMPUTE"&amp;C105&amp;"__UNCORE__CHA__CHA"&amp;Check!F105&amp;"__UTIL__MC_STATUS"&amp;$B$1,cha_mc[VisualId]&amp;cha_mc[PPVRun_MC]&amp;cha_mc[Lot]&amp;cha_mc[TestNameWithoutNumeric],cha_mc[TestValue],"")</f>
        <v/>
      </c>
      <c r="H105" s="4" t="str">
        <f t="shared" si="8"/>
        <v/>
      </c>
      <c r="AK105" s="4" t="str">
        <f t="shared" si="9"/>
        <v/>
      </c>
      <c r="AL105" s="4"/>
      <c r="AM105" s="4" t="str">
        <f t="shared" si="10"/>
        <v/>
      </c>
      <c r="AN105" s="4" t="str">
        <f>IFERROR(_xlfn.XLOOKUP(HEX2DEC(MID(AM105,LEN(AM105)-7,4)),mscod[MSCOD_BY_VAL],mscod[Description],""),"")</f>
        <v/>
      </c>
      <c r="AO105" s="4" t="str" cm="1">
        <f t="array" ref="AO105">_xlfn.XLOOKUP($K$1&amp;$Q$1&amp;"DPMB_SOCKET0__COMPUTE"&amp;AK105&amp;"__UNCORE__CHA__CHA"&amp;AL105&amp;"__UTIL__MC_ADDR"&amp;$B$1,cha_mc[VisualId]&amp;cha_mc[UnitTestingSeqKey]&amp;cha_mc[TestName],cha_mc[TestValue],"")</f>
        <v/>
      </c>
      <c r="AP105" s="4" t="str" cm="1">
        <f t="array" ref="AP105">_xlfn.XLOOKUP($K$1&amp;$Q$1&amp;"DPMB_SOCKET0__COMPUTE"&amp;AK105&amp;"__UNCORE__CHA__CHA"&amp;AL105&amp;"__UTIL__MC_MISC"&amp;$B$1,cha_mc[VisualId]&amp;cha_mc[UnitTestingSeqKey]&amp;cha_mc[TestName],cha_mc[TestValue],"")</f>
        <v/>
      </c>
      <c r="AQ105" s="30"/>
      <c r="AR105" s="30"/>
      <c r="AS105" s="30"/>
      <c r="AT105" s="30"/>
      <c r="AU105" s="30"/>
      <c r="AV105" s="4" t="str" cm="1">
        <f t="array" ref="AV105">_xlfn.XLOOKUP($K$1&amp;$Q$1&amp;"DPMB_SOCKET0__COMPUTE"&amp;AK105&amp;"__UNCORE__CHA__CHA"&amp;AL105&amp;"__UTIL__MC_MISC3"&amp;$B$1,cha_mc[VisualId]&amp;cha_mc[UnitTestingSeqKey]&amp;cha_mc[TestName],cha_mc[TestValue],"")</f>
        <v/>
      </c>
      <c r="AW105" s="30"/>
      <c r="AX105" s="30"/>
      <c r="AY105" s="30"/>
      <c r="AZ105" s="30"/>
      <c r="BA105" s="30"/>
    </row>
    <row r="106" spans="1:53" x14ac:dyDescent="0.3">
      <c r="A106" s="4" t="str">
        <f t="shared" si="11"/>
        <v>74X97M1000031</v>
      </c>
      <c r="B106" s="4" t="str">
        <f t="shared" si="7"/>
        <v>1-1</v>
      </c>
      <c r="C106" s="4">
        <v>1</v>
      </c>
      <c r="D106" s="4">
        <v>102</v>
      </c>
      <c r="E106" s="4" t="str" cm="1">
        <f t="array" ref="E106">_xlfn.XLOOKUP(A106&amp;B106&amp;$E$1&amp;"DPMB_SOCKET0__COMPUTE"&amp;C106&amp;"__CPU__CORE"&amp;Check!D106&amp;"__ML2_CR_MC3_STATUS"&amp;$B$1,core_mc[VisualId]&amp;core_mc[PPVRun_MC]&amp;core_mc[Lot]&amp;core_mc[TestNameWithoutNumeric],core_mc[TestValue],"")</f>
        <v/>
      </c>
      <c r="F106" s="4">
        <v>102</v>
      </c>
      <c r="G106" s="4" t="str" cm="1">
        <f t="array" ref="G106">_xlfn.XLOOKUP(A106&amp;B106&amp;$E$1&amp;"DPMB_SOCKET0__COMPUTE"&amp;C106&amp;"__UNCORE__CHA__CHA"&amp;Check!F106&amp;"__UTIL__MC_STATUS"&amp;$B$1,cha_mc[VisualId]&amp;cha_mc[PPVRun_MC]&amp;cha_mc[Lot]&amp;cha_mc[TestNameWithoutNumeric],cha_mc[TestValue],"")</f>
        <v/>
      </c>
      <c r="H106" s="4" t="str">
        <f t="shared" si="8"/>
        <v/>
      </c>
      <c r="AK106" s="4" t="str">
        <f t="shared" si="9"/>
        <v/>
      </c>
      <c r="AL106" s="4"/>
      <c r="AM106" s="4" t="str">
        <f t="shared" si="10"/>
        <v/>
      </c>
      <c r="AN106" s="4" t="str">
        <f>IFERROR(_xlfn.XLOOKUP(HEX2DEC(MID(AM106,LEN(AM106)-7,4)),mscod[MSCOD_BY_VAL],mscod[Description],""),"")</f>
        <v/>
      </c>
      <c r="AO106" s="4" t="str" cm="1">
        <f t="array" ref="AO106">_xlfn.XLOOKUP($K$1&amp;$Q$1&amp;"DPMB_SOCKET0__COMPUTE"&amp;AK106&amp;"__UNCORE__CHA__CHA"&amp;AL106&amp;"__UTIL__MC_ADDR"&amp;$B$1,cha_mc[VisualId]&amp;cha_mc[UnitTestingSeqKey]&amp;cha_mc[TestName],cha_mc[TestValue],"")</f>
        <v/>
      </c>
      <c r="AP106" s="4" t="str" cm="1">
        <f t="array" ref="AP106">_xlfn.XLOOKUP($K$1&amp;$Q$1&amp;"DPMB_SOCKET0__COMPUTE"&amp;AK106&amp;"__UNCORE__CHA__CHA"&amp;AL106&amp;"__UTIL__MC_MISC"&amp;$B$1,cha_mc[VisualId]&amp;cha_mc[UnitTestingSeqKey]&amp;cha_mc[TestName],cha_mc[TestValue],"")</f>
        <v/>
      </c>
      <c r="AQ106" s="30"/>
      <c r="AR106" s="30"/>
      <c r="AS106" s="30"/>
      <c r="AT106" s="30"/>
      <c r="AU106" s="30"/>
      <c r="AV106" s="4" t="str" cm="1">
        <f t="array" ref="AV106">_xlfn.XLOOKUP($K$1&amp;$Q$1&amp;"DPMB_SOCKET0__COMPUTE"&amp;AK106&amp;"__UNCORE__CHA__CHA"&amp;AL106&amp;"__UTIL__MC_MISC3"&amp;$B$1,cha_mc[VisualId]&amp;cha_mc[UnitTestingSeqKey]&amp;cha_mc[TestName],cha_mc[TestValue],"")</f>
        <v/>
      </c>
      <c r="AW106" s="30"/>
      <c r="AX106" s="30"/>
      <c r="AY106" s="30"/>
      <c r="AZ106" s="30"/>
      <c r="BA106" s="30"/>
    </row>
    <row r="107" spans="1:53" x14ac:dyDescent="0.3">
      <c r="A107" s="4" t="str">
        <f t="shared" si="11"/>
        <v>74X97M1000031</v>
      </c>
      <c r="B107" s="4" t="str">
        <f t="shared" si="7"/>
        <v>1-1</v>
      </c>
      <c r="C107" s="4">
        <v>1</v>
      </c>
      <c r="D107" s="4">
        <v>103</v>
      </c>
      <c r="E107" s="4" t="str" cm="1">
        <f t="array" ref="E107">_xlfn.XLOOKUP(A107&amp;B107&amp;$E$1&amp;"DPMB_SOCKET0__COMPUTE"&amp;C107&amp;"__CPU__CORE"&amp;Check!D107&amp;"__ML2_CR_MC3_STATUS"&amp;$B$1,core_mc[VisualId]&amp;core_mc[PPVRun_MC]&amp;core_mc[Lot]&amp;core_mc[TestNameWithoutNumeric],core_mc[TestValue],"")</f>
        <v/>
      </c>
      <c r="F107" s="4">
        <v>103</v>
      </c>
      <c r="G107" s="4" t="str" cm="1">
        <f t="array" ref="G107">_xlfn.XLOOKUP(A107&amp;B107&amp;$E$1&amp;"DPMB_SOCKET0__COMPUTE"&amp;C107&amp;"__UNCORE__CHA__CHA"&amp;Check!F107&amp;"__UTIL__MC_STATUS"&amp;$B$1,cha_mc[VisualId]&amp;cha_mc[PPVRun_MC]&amp;cha_mc[Lot]&amp;cha_mc[TestNameWithoutNumeric],cha_mc[TestValue],"")</f>
        <v/>
      </c>
      <c r="H107" s="4" t="str">
        <f t="shared" si="8"/>
        <v/>
      </c>
      <c r="AK107" s="4" t="str">
        <f t="shared" si="9"/>
        <v/>
      </c>
      <c r="AL107" s="4"/>
      <c r="AM107" s="4" t="str">
        <f t="shared" si="10"/>
        <v/>
      </c>
      <c r="AN107" s="4" t="str">
        <f>IFERROR(_xlfn.XLOOKUP(HEX2DEC(MID(AM107,LEN(AM107)-7,4)),mscod[MSCOD_BY_VAL],mscod[Description],""),"")</f>
        <v/>
      </c>
      <c r="AO107" s="4" t="str" cm="1">
        <f t="array" ref="AO107">_xlfn.XLOOKUP($K$1&amp;$Q$1&amp;"DPMB_SOCKET0__COMPUTE"&amp;AK107&amp;"__UNCORE__CHA__CHA"&amp;AL107&amp;"__UTIL__MC_ADDR"&amp;$B$1,cha_mc[VisualId]&amp;cha_mc[UnitTestingSeqKey]&amp;cha_mc[TestName],cha_mc[TestValue],"")</f>
        <v/>
      </c>
      <c r="AP107" s="4" t="str" cm="1">
        <f t="array" ref="AP107">_xlfn.XLOOKUP($K$1&amp;$Q$1&amp;"DPMB_SOCKET0__COMPUTE"&amp;AK107&amp;"__UNCORE__CHA__CHA"&amp;AL107&amp;"__UTIL__MC_MISC"&amp;$B$1,cha_mc[VisualId]&amp;cha_mc[UnitTestingSeqKey]&amp;cha_mc[TestName],cha_mc[TestValue],"")</f>
        <v/>
      </c>
      <c r="AQ107" s="30"/>
      <c r="AR107" s="30"/>
      <c r="AS107" s="30"/>
      <c r="AT107" s="30"/>
      <c r="AU107" s="30"/>
      <c r="AV107" s="4" t="str" cm="1">
        <f t="array" ref="AV107">_xlfn.XLOOKUP($K$1&amp;$Q$1&amp;"DPMB_SOCKET0__COMPUTE"&amp;AK107&amp;"__UNCORE__CHA__CHA"&amp;AL107&amp;"__UTIL__MC_MISC3"&amp;$B$1,cha_mc[VisualId]&amp;cha_mc[UnitTestingSeqKey]&amp;cha_mc[TestName],cha_mc[TestValue],"")</f>
        <v/>
      </c>
      <c r="AW107" s="30"/>
      <c r="AX107" s="30"/>
      <c r="AY107" s="30"/>
      <c r="AZ107" s="30"/>
      <c r="BA107" s="30"/>
    </row>
    <row r="108" spans="1:53" x14ac:dyDescent="0.3">
      <c r="A108" s="4" t="str">
        <f t="shared" si="11"/>
        <v>74X97M1000031</v>
      </c>
      <c r="B108" s="4" t="str">
        <f t="shared" si="7"/>
        <v>1-1</v>
      </c>
      <c r="C108" s="4">
        <v>1</v>
      </c>
      <c r="D108" s="4">
        <v>104</v>
      </c>
      <c r="E108" s="4" t="str" cm="1">
        <f t="array" ref="E108">_xlfn.XLOOKUP(A108&amp;B108&amp;$E$1&amp;"DPMB_SOCKET0__COMPUTE"&amp;C108&amp;"__CPU__CORE"&amp;Check!D108&amp;"__ML2_CR_MC3_STATUS"&amp;$B$1,core_mc[VisualId]&amp;core_mc[PPVRun_MC]&amp;core_mc[Lot]&amp;core_mc[TestNameWithoutNumeric],core_mc[TestValue],"")</f>
        <v/>
      </c>
      <c r="F108" s="4">
        <v>104</v>
      </c>
      <c r="G108" s="4" t="str" cm="1">
        <f t="array" ref="G108">_xlfn.XLOOKUP(A108&amp;B108&amp;$E$1&amp;"DPMB_SOCKET0__COMPUTE"&amp;C108&amp;"__UNCORE__CHA__CHA"&amp;Check!F108&amp;"__UTIL__MC_STATUS"&amp;$B$1,cha_mc[VisualId]&amp;cha_mc[PPVRun_MC]&amp;cha_mc[Lot]&amp;cha_mc[TestNameWithoutNumeric],cha_mc[TestValue],"")</f>
        <v/>
      </c>
      <c r="H108" s="4" t="str">
        <f t="shared" si="8"/>
        <v/>
      </c>
      <c r="AK108" s="4" t="str">
        <f t="shared" si="9"/>
        <v/>
      </c>
      <c r="AL108" s="4"/>
      <c r="AM108" s="4" t="str">
        <f t="shared" si="10"/>
        <v/>
      </c>
      <c r="AN108" s="4" t="str">
        <f>IFERROR(_xlfn.XLOOKUP(HEX2DEC(MID(AM108,LEN(AM108)-7,4)),mscod[MSCOD_BY_VAL],mscod[Description],""),"")</f>
        <v/>
      </c>
      <c r="AO108" s="4" t="str" cm="1">
        <f t="array" ref="AO108">_xlfn.XLOOKUP($K$1&amp;$Q$1&amp;"DPMB_SOCKET0__COMPUTE"&amp;AK108&amp;"__UNCORE__CHA__CHA"&amp;AL108&amp;"__UTIL__MC_ADDR"&amp;$B$1,cha_mc[VisualId]&amp;cha_mc[UnitTestingSeqKey]&amp;cha_mc[TestName],cha_mc[TestValue],"")</f>
        <v/>
      </c>
      <c r="AP108" s="4" t="str" cm="1">
        <f t="array" ref="AP108">_xlfn.XLOOKUP($K$1&amp;$Q$1&amp;"DPMB_SOCKET0__COMPUTE"&amp;AK108&amp;"__UNCORE__CHA__CHA"&amp;AL108&amp;"__UTIL__MC_MISC"&amp;$B$1,cha_mc[VisualId]&amp;cha_mc[UnitTestingSeqKey]&amp;cha_mc[TestName],cha_mc[TestValue],"")</f>
        <v/>
      </c>
      <c r="AQ108" s="30"/>
      <c r="AR108" s="30"/>
      <c r="AS108" s="30"/>
      <c r="AT108" s="30"/>
      <c r="AU108" s="30"/>
      <c r="AV108" s="4" t="str" cm="1">
        <f t="array" ref="AV108">_xlfn.XLOOKUP($K$1&amp;$Q$1&amp;"DPMB_SOCKET0__COMPUTE"&amp;AK108&amp;"__UNCORE__CHA__CHA"&amp;AL108&amp;"__UTIL__MC_MISC3"&amp;$B$1,cha_mc[VisualId]&amp;cha_mc[UnitTestingSeqKey]&amp;cha_mc[TestName],cha_mc[TestValue],"")</f>
        <v/>
      </c>
      <c r="AW108" s="30"/>
      <c r="AX108" s="30"/>
      <c r="AY108" s="30"/>
      <c r="AZ108" s="30"/>
      <c r="BA108" s="30"/>
    </row>
    <row r="109" spans="1:53" x14ac:dyDescent="0.3">
      <c r="A109" s="4" t="str">
        <f t="shared" si="11"/>
        <v>74X97M1000031</v>
      </c>
      <c r="B109" s="4" t="str">
        <f t="shared" si="7"/>
        <v>1-1</v>
      </c>
      <c r="C109" s="4">
        <v>1</v>
      </c>
      <c r="D109" s="4">
        <v>105</v>
      </c>
      <c r="E109" s="4" t="str" cm="1">
        <f t="array" ref="E109">_xlfn.XLOOKUP(A109&amp;B109&amp;$E$1&amp;"DPMB_SOCKET0__COMPUTE"&amp;C109&amp;"__CPU__CORE"&amp;Check!D109&amp;"__ML2_CR_MC3_STATUS"&amp;$B$1,core_mc[VisualId]&amp;core_mc[PPVRun_MC]&amp;core_mc[Lot]&amp;core_mc[TestNameWithoutNumeric],core_mc[TestValue],"")</f>
        <v/>
      </c>
      <c r="F109" s="4">
        <v>105</v>
      </c>
      <c r="G109" s="4" t="str" cm="1">
        <f t="array" ref="G109">_xlfn.XLOOKUP(A109&amp;B109&amp;$E$1&amp;"DPMB_SOCKET0__COMPUTE"&amp;C109&amp;"__UNCORE__CHA__CHA"&amp;Check!F109&amp;"__UTIL__MC_STATUS"&amp;$B$1,cha_mc[VisualId]&amp;cha_mc[PPVRun_MC]&amp;cha_mc[Lot]&amp;cha_mc[TestNameWithoutNumeric],cha_mc[TestValue],"")</f>
        <v/>
      </c>
      <c r="H109" s="4" t="str">
        <f t="shared" si="8"/>
        <v/>
      </c>
      <c r="AK109" s="4" t="str">
        <f t="shared" si="9"/>
        <v/>
      </c>
      <c r="AL109" s="4"/>
      <c r="AM109" s="4" t="str">
        <f t="shared" si="10"/>
        <v/>
      </c>
      <c r="AN109" s="4" t="str">
        <f>IFERROR(_xlfn.XLOOKUP(HEX2DEC(MID(AM109,LEN(AM109)-7,4)),mscod[MSCOD_BY_VAL],mscod[Description],""),"")</f>
        <v/>
      </c>
      <c r="AO109" s="4" t="str" cm="1">
        <f t="array" ref="AO109">_xlfn.XLOOKUP($K$1&amp;$Q$1&amp;"DPMB_SOCKET0__COMPUTE"&amp;AK109&amp;"__UNCORE__CHA__CHA"&amp;AL109&amp;"__UTIL__MC_ADDR"&amp;$B$1,cha_mc[VisualId]&amp;cha_mc[UnitTestingSeqKey]&amp;cha_mc[TestName],cha_mc[TestValue],"")</f>
        <v/>
      </c>
      <c r="AP109" s="4" t="str" cm="1">
        <f t="array" ref="AP109">_xlfn.XLOOKUP($K$1&amp;$Q$1&amp;"DPMB_SOCKET0__COMPUTE"&amp;AK109&amp;"__UNCORE__CHA__CHA"&amp;AL109&amp;"__UTIL__MC_MISC"&amp;$B$1,cha_mc[VisualId]&amp;cha_mc[UnitTestingSeqKey]&amp;cha_mc[TestName],cha_mc[TestValue],"")</f>
        <v/>
      </c>
      <c r="AQ109" s="30"/>
      <c r="AR109" s="30"/>
      <c r="AS109" s="30"/>
      <c r="AT109" s="30"/>
      <c r="AU109" s="30"/>
      <c r="AV109" s="4" t="str" cm="1">
        <f t="array" ref="AV109">_xlfn.XLOOKUP($K$1&amp;$Q$1&amp;"DPMB_SOCKET0__COMPUTE"&amp;AK109&amp;"__UNCORE__CHA__CHA"&amp;AL109&amp;"__UTIL__MC_MISC3"&amp;$B$1,cha_mc[VisualId]&amp;cha_mc[UnitTestingSeqKey]&amp;cha_mc[TestName],cha_mc[TestValue],"")</f>
        <v/>
      </c>
      <c r="AW109" s="30"/>
      <c r="AX109" s="30"/>
      <c r="AY109" s="30"/>
      <c r="AZ109" s="30"/>
      <c r="BA109" s="30"/>
    </row>
    <row r="110" spans="1:53" x14ac:dyDescent="0.3">
      <c r="A110" s="4" t="str">
        <f t="shared" si="11"/>
        <v>74X97M1000031</v>
      </c>
      <c r="B110" s="4" t="str">
        <f t="shared" si="7"/>
        <v>1-1</v>
      </c>
      <c r="C110" s="4">
        <v>1</v>
      </c>
      <c r="D110" s="4">
        <v>106</v>
      </c>
      <c r="E110" s="4" t="str" cm="1">
        <f t="array" ref="E110">_xlfn.XLOOKUP(A110&amp;B110&amp;$E$1&amp;"DPMB_SOCKET0__COMPUTE"&amp;C110&amp;"__CPU__CORE"&amp;Check!D110&amp;"__ML2_CR_MC3_STATUS"&amp;$B$1,core_mc[VisualId]&amp;core_mc[PPVRun_MC]&amp;core_mc[Lot]&amp;core_mc[TestNameWithoutNumeric],core_mc[TestValue],"")</f>
        <v/>
      </c>
      <c r="F110" s="4">
        <v>106</v>
      </c>
      <c r="G110" s="4" t="str" cm="1">
        <f t="array" ref="G110">_xlfn.XLOOKUP(A110&amp;B110&amp;$E$1&amp;"DPMB_SOCKET0__COMPUTE"&amp;C110&amp;"__UNCORE__CHA__CHA"&amp;Check!F110&amp;"__UTIL__MC_STATUS"&amp;$B$1,cha_mc[VisualId]&amp;cha_mc[PPVRun_MC]&amp;cha_mc[Lot]&amp;cha_mc[TestNameWithoutNumeric],cha_mc[TestValue],"")</f>
        <v/>
      </c>
      <c r="H110" s="4" t="str">
        <f t="shared" si="8"/>
        <v/>
      </c>
      <c r="AK110" s="4" t="str">
        <f t="shared" si="9"/>
        <v/>
      </c>
      <c r="AL110" s="4"/>
      <c r="AM110" s="4" t="str">
        <f t="shared" si="10"/>
        <v/>
      </c>
      <c r="AN110" s="4" t="str">
        <f>IFERROR(_xlfn.XLOOKUP(HEX2DEC(MID(AM110,LEN(AM110)-7,4)),mscod[MSCOD_BY_VAL],mscod[Description],""),"")</f>
        <v/>
      </c>
      <c r="AO110" s="4" t="str" cm="1">
        <f t="array" ref="AO110">_xlfn.XLOOKUP($K$1&amp;$Q$1&amp;"DPMB_SOCKET0__COMPUTE"&amp;AK110&amp;"__UNCORE__CHA__CHA"&amp;AL110&amp;"__UTIL__MC_ADDR"&amp;$B$1,cha_mc[VisualId]&amp;cha_mc[UnitTestingSeqKey]&amp;cha_mc[TestName],cha_mc[TestValue],"")</f>
        <v/>
      </c>
      <c r="AP110" s="4" t="str" cm="1">
        <f t="array" ref="AP110">_xlfn.XLOOKUP($K$1&amp;$Q$1&amp;"DPMB_SOCKET0__COMPUTE"&amp;AK110&amp;"__UNCORE__CHA__CHA"&amp;AL110&amp;"__UTIL__MC_MISC"&amp;$B$1,cha_mc[VisualId]&amp;cha_mc[UnitTestingSeqKey]&amp;cha_mc[TestName],cha_mc[TestValue],"")</f>
        <v/>
      </c>
      <c r="AQ110" s="30"/>
      <c r="AR110" s="30"/>
      <c r="AS110" s="30"/>
      <c r="AT110" s="30"/>
      <c r="AU110" s="30"/>
      <c r="AV110" s="4" t="str" cm="1">
        <f t="array" ref="AV110">_xlfn.XLOOKUP($K$1&amp;$Q$1&amp;"DPMB_SOCKET0__COMPUTE"&amp;AK110&amp;"__UNCORE__CHA__CHA"&amp;AL110&amp;"__UTIL__MC_MISC3"&amp;$B$1,cha_mc[VisualId]&amp;cha_mc[UnitTestingSeqKey]&amp;cha_mc[TestName],cha_mc[TestValue],"")</f>
        <v/>
      </c>
      <c r="AW110" s="30"/>
      <c r="AX110" s="30"/>
      <c r="AY110" s="30"/>
      <c r="AZ110" s="30"/>
      <c r="BA110" s="30"/>
    </row>
    <row r="111" spans="1:53" x14ac:dyDescent="0.3">
      <c r="A111" s="4" t="str">
        <f t="shared" si="11"/>
        <v>74X97M1000031</v>
      </c>
      <c r="B111" s="4" t="str">
        <f t="shared" si="7"/>
        <v>1-1</v>
      </c>
      <c r="C111" s="4">
        <v>1</v>
      </c>
      <c r="D111" s="4">
        <v>107</v>
      </c>
      <c r="E111" s="4" t="str" cm="1">
        <f t="array" ref="E111">_xlfn.XLOOKUP(A111&amp;B111&amp;$E$1&amp;"DPMB_SOCKET0__COMPUTE"&amp;C111&amp;"__CPU__CORE"&amp;Check!D111&amp;"__ML2_CR_MC3_STATUS"&amp;$B$1,core_mc[VisualId]&amp;core_mc[PPVRun_MC]&amp;core_mc[Lot]&amp;core_mc[TestNameWithoutNumeric],core_mc[TestValue],"")</f>
        <v/>
      </c>
      <c r="F111" s="4">
        <v>107</v>
      </c>
      <c r="G111" s="4" t="str" cm="1">
        <f t="array" ref="G111">_xlfn.XLOOKUP(A111&amp;B111&amp;$E$1&amp;"DPMB_SOCKET0__COMPUTE"&amp;C111&amp;"__UNCORE__CHA__CHA"&amp;Check!F111&amp;"__UTIL__MC_STATUS"&amp;$B$1,cha_mc[VisualId]&amp;cha_mc[PPVRun_MC]&amp;cha_mc[Lot]&amp;cha_mc[TestNameWithoutNumeric],cha_mc[TestValue],"")</f>
        <v/>
      </c>
      <c r="H111" s="4" t="str">
        <f t="shared" si="8"/>
        <v/>
      </c>
      <c r="AK111" s="4" t="str">
        <f t="shared" si="9"/>
        <v/>
      </c>
      <c r="AL111" s="4"/>
      <c r="AM111" s="4" t="str">
        <f t="shared" si="10"/>
        <v/>
      </c>
      <c r="AN111" s="4" t="str">
        <f>IFERROR(_xlfn.XLOOKUP(HEX2DEC(MID(AM111,LEN(AM111)-7,4)),mscod[MSCOD_BY_VAL],mscod[Description],""),"")</f>
        <v/>
      </c>
      <c r="AO111" s="4" t="str" cm="1">
        <f t="array" ref="AO111">_xlfn.XLOOKUP($K$1&amp;$Q$1&amp;"DPMB_SOCKET0__COMPUTE"&amp;AK111&amp;"__UNCORE__CHA__CHA"&amp;AL111&amp;"__UTIL__MC_ADDR"&amp;$B$1,cha_mc[VisualId]&amp;cha_mc[UnitTestingSeqKey]&amp;cha_mc[TestName],cha_mc[TestValue],"")</f>
        <v/>
      </c>
      <c r="AP111" s="4" t="str" cm="1">
        <f t="array" ref="AP111">_xlfn.XLOOKUP($K$1&amp;$Q$1&amp;"DPMB_SOCKET0__COMPUTE"&amp;AK111&amp;"__UNCORE__CHA__CHA"&amp;AL111&amp;"__UTIL__MC_MISC"&amp;$B$1,cha_mc[VisualId]&amp;cha_mc[UnitTestingSeqKey]&amp;cha_mc[TestName],cha_mc[TestValue],"")</f>
        <v/>
      </c>
      <c r="AQ111" s="30"/>
      <c r="AR111" s="30"/>
      <c r="AS111" s="30"/>
      <c r="AT111" s="30"/>
      <c r="AU111" s="30"/>
      <c r="AV111" s="4" t="str" cm="1">
        <f t="array" ref="AV111">_xlfn.XLOOKUP($K$1&amp;$Q$1&amp;"DPMB_SOCKET0__COMPUTE"&amp;AK111&amp;"__UNCORE__CHA__CHA"&amp;AL111&amp;"__UTIL__MC_MISC3"&amp;$B$1,cha_mc[VisualId]&amp;cha_mc[UnitTestingSeqKey]&amp;cha_mc[TestName],cha_mc[TestValue],"")</f>
        <v/>
      </c>
      <c r="AW111" s="30"/>
      <c r="AX111" s="30"/>
      <c r="AY111" s="30"/>
      <c r="AZ111" s="30"/>
      <c r="BA111" s="30"/>
    </row>
    <row r="112" spans="1:53" x14ac:dyDescent="0.3">
      <c r="A112" s="4" t="str">
        <f t="shared" si="11"/>
        <v>74X97M1000031</v>
      </c>
      <c r="B112" s="4" t="str">
        <f t="shared" si="7"/>
        <v>1-1</v>
      </c>
      <c r="C112" s="4">
        <v>1</v>
      </c>
      <c r="D112" s="4">
        <v>108</v>
      </c>
      <c r="E112" s="4" t="str" cm="1">
        <f t="array" ref="E112">_xlfn.XLOOKUP(A112&amp;B112&amp;$E$1&amp;"DPMB_SOCKET0__COMPUTE"&amp;C112&amp;"__CPU__CORE"&amp;Check!D112&amp;"__ML2_CR_MC3_STATUS"&amp;$B$1,core_mc[VisualId]&amp;core_mc[PPVRun_MC]&amp;core_mc[Lot]&amp;core_mc[TestNameWithoutNumeric],core_mc[TestValue],"")</f>
        <v/>
      </c>
      <c r="F112" s="4">
        <v>108</v>
      </c>
      <c r="G112" s="4" t="str" cm="1">
        <f t="array" ref="G112">_xlfn.XLOOKUP(A112&amp;B112&amp;$E$1&amp;"DPMB_SOCKET0__COMPUTE"&amp;C112&amp;"__UNCORE__CHA__CHA"&amp;Check!F112&amp;"__UTIL__MC_STATUS"&amp;$B$1,cha_mc[VisualId]&amp;cha_mc[PPVRun_MC]&amp;cha_mc[Lot]&amp;cha_mc[TestNameWithoutNumeric],cha_mc[TestValue],"")</f>
        <v/>
      </c>
      <c r="H112" s="4" t="str">
        <f t="shared" si="8"/>
        <v/>
      </c>
      <c r="AK112" s="4" t="str">
        <f t="shared" si="9"/>
        <v/>
      </c>
      <c r="AL112" s="4"/>
      <c r="AM112" s="4" t="str">
        <f t="shared" si="10"/>
        <v/>
      </c>
      <c r="AN112" s="4" t="str">
        <f>IFERROR(_xlfn.XLOOKUP(HEX2DEC(MID(AM112,LEN(AM112)-7,4)),mscod[MSCOD_BY_VAL],mscod[Description],""),"")</f>
        <v/>
      </c>
      <c r="AO112" s="4" t="str" cm="1">
        <f t="array" ref="AO112">_xlfn.XLOOKUP($K$1&amp;$Q$1&amp;"DPMB_SOCKET0__COMPUTE"&amp;AK112&amp;"__UNCORE__CHA__CHA"&amp;AL112&amp;"__UTIL__MC_ADDR"&amp;$B$1,cha_mc[VisualId]&amp;cha_mc[UnitTestingSeqKey]&amp;cha_mc[TestName],cha_mc[TestValue],"")</f>
        <v/>
      </c>
      <c r="AP112" s="4" t="str" cm="1">
        <f t="array" ref="AP112">_xlfn.XLOOKUP($K$1&amp;$Q$1&amp;"DPMB_SOCKET0__COMPUTE"&amp;AK112&amp;"__UNCORE__CHA__CHA"&amp;AL112&amp;"__UTIL__MC_MISC"&amp;$B$1,cha_mc[VisualId]&amp;cha_mc[UnitTestingSeqKey]&amp;cha_mc[TestName],cha_mc[TestValue],"")</f>
        <v/>
      </c>
      <c r="AQ112" s="30"/>
      <c r="AR112" s="30"/>
      <c r="AS112" s="30"/>
      <c r="AT112" s="30"/>
      <c r="AU112" s="30"/>
      <c r="AV112" s="4" t="str" cm="1">
        <f t="array" ref="AV112">_xlfn.XLOOKUP($K$1&amp;$Q$1&amp;"DPMB_SOCKET0__COMPUTE"&amp;AK112&amp;"__UNCORE__CHA__CHA"&amp;AL112&amp;"__UTIL__MC_MISC3"&amp;$B$1,cha_mc[VisualId]&amp;cha_mc[UnitTestingSeqKey]&amp;cha_mc[TestName],cha_mc[TestValue],"")</f>
        <v/>
      </c>
      <c r="AW112" s="30"/>
      <c r="AX112" s="30"/>
      <c r="AY112" s="30"/>
      <c r="AZ112" s="30"/>
      <c r="BA112" s="30"/>
    </row>
    <row r="113" spans="1:53" x14ac:dyDescent="0.3">
      <c r="A113" s="4" t="str">
        <f t="shared" si="11"/>
        <v>74X97M1000031</v>
      </c>
      <c r="B113" s="4" t="str">
        <f t="shared" si="7"/>
        <v>1-1</v>
      </c>
      <c r="C113" s="4">
        <v>1</v>
      </c>
      <c r="D113" s="4">
        <v>109</v>
      </c>
      <c r="E113" s="4" t="str" cm="1">
        <f t="array" ref="E113">_xlfn.XLOOKUP(A113&amp;B113&amp;$E$1&amp;"DPMB_SOCKET0__COMPUTE"&amp;C113&amp;"__CPU__CORE"&amp;Check!D113&amp;"__ML2_CR_MC3_STATUS"&amp;$B$1,core_mc[VisualId]&amp;core_mc[PPVRun_MC]&amp;core_mc[Lot]&amp;core_mc[TestNameWithoutNumeric],core_mc[TestValue],"")</f>
        <v/>
      </c>
      <c r="F113" s="4">
        <v>109</v>
      </c>
      <c r="G113" s="4" t="str" cm="1">
        <f t="array" ref="G113">_xlfn.XLOOKUP(A113&amp;B113&amp;$E$1&amp;"DPMB_SOCKET0__COMPUTE"&amp;C113&amp;"__UNCORE__CHA__CHA"&amp;Check!F113&amp;"__UTIL__MC_STATUS"&amp;$B$1,cha_mc[VisualId]&amp;cha_mc[PPVRun_MC]&amp;cha_mc[Lot]&amp;cha_mc[TestNameWithoutNumeric],cha_mc[TestValue],"")</f>
        <v/>
      </c>
      <c r="H113" s="4" t="str">
        <f t="shared" si="8"/>
        <v/>
      </c>
      <c r="AK113" s="4" t="str">
        <f t="shared" si="9"/>
        <v/>
      </c>
      <c r="AL113" s="4"/>
      <c r="AM113" s="4" t="str">
        <f t="shared" si="10"/>
        <v/>
      </c>
      <c r="AN113" s="4" t="str">
        <f>IFERROR(_xlfn.XLOOKUP(HEX2DEC(MID(AM113,LEN(AM113)-7,4)),mscod[MSCOD_BY_VAL],mscod[Description],""),"")</f>
        <v/>
      </c>
      <c r="AO113" s="4" t="str" cm="1">
        <f t="array" ref="AO113">_xlfn.XLOOKUP($K$1&amp;$Q$1&amp;"DPMB_SOCKET0__COMPUTE"&amp;AK113&amp;"__UNCORE__CHA__CHA"&amp;AL113&amp;"__UTIL__MC_ADDR"&amp;$B$1,cha_mc[VisualId]&amp;cha_mc[UnitTestingSeqKey]&amp;cha_mc[TestName],cha_mc[TestValue],"")</f>
        <v/>
      </c>
      <c r="AP113" s="4" t="str" cm="1">
        <f t="array" ref="AP113">_xlfn.XLOOKUP($K$1&amp;$Q$1&amp;"DPMB_SOCKET0__COMPUTE"&amp;AK113&amp;"__UNCORE__CHA__CHA"&amp;AL113&amp;"__UTIL__MC_MISC"&amp;$B$1,cha_mc[VisualId]&amp;cha_mc[UnitTestingSeqKey]&amp;cha_mc[TestName],cha_mc[TestValue],"")</f>
        <v/>
      </c>
      <c r="AQ113" s="30"/>
      <c r="AR113" s="30"/>
      <c r="AS113" s="30"/>
      <c r="AT113" s="30"/>
      <c r="AU113" s="30"/>
      <c r="AV113" s="4" t="str" cm="1">
        <f t="array" ref="AV113">_xlfn.XLOOKUP($K$1&amp;$Q$1&amp;"DPMB_SOCKET0__COMPUTE"&amp;AK113&amp;"__UNCORE__CHA__CHA"&amp;AL113&amp;"__UTIL__MC_MISC3"&amp;$B$1,cha_mc[VisualId]&amp;cha_mc[UnitTestingSeqKey]&amp;cha_mc[TestName],cha_mc[TestValue],"")</f>
        <v/>
      </c>
      <c r="AW113" s="30"/>
      <c r="AX113" s="30"/>
      <c r="AY113" s="30"/>
      <c r="AZ113" s="30"/>
      <c r="BA113" s="30"/>
    </row>
    <row r="114" spans="1:53" x14ac:dyDescent="0.3">
      <c r="A114" s="4" t="str">
        <f t="shared" si="11"/>
        <v>74X97M1000031</v>
      </c>
      <c r="B114" s="4" t="str">
        <f t="shared" si="7"/>
        <v>1-1</v>
      </c>
      <c r="C114" s="4">
        <v>1</v>
      </c>
      <c r="D114" s="4">
        <v>110</v>
      </c>
      <c r="E114" s="4" t="str" cm="1">
        <f t="array" ref="E114">_xlfn.XLOOKUP(A114&amp;B114&amp;$E$1&amp;"DPMB_SOCKET0__COMPUTE"&amp;C114&amp;"__CPU__CORE"&amp;Check!D114&amp;"__ML2_CR_MC3_STATUS"&amp;$B$1,core_mc[VisualId]&amp;core_mc[PPVRun_MC]&amp;core_mc[Lot]&amp;core_mc[TestNameWithoutNumeric],core_mc[TestValue],"")</f>
        <v/>
      </c>
      <c r="F114" s="4">
        <v>110</v>
      </c>
      <c r="G114" s="4" t="str" cm="1">
        <f t="array" ref="G114">_xlfn.XLOOKUP(A114&amp;B114&amp;$E$1&amp;"DPMB_SOCKET0__COMPUTE"&amp;C114&amp;"__UNCORE__CHA__CHA"&amp;Check!F114&amp;"__UTIL__MC_STATUS"&amp;$B$1,cha_mc[VisualId]&amp;cha_mc[PPVRun_MC]&amp;cha_mc[Lot]&amp;cha_mc[TestNameWithoutNumeric],cha_mc[TestValue],"")</f>
        <v/>
      </c>
      <c r="H114" s="4" t="str">
        <f t="shared" si="8"/>
        <v/>
      </c>
      <c r="AK114" s="4" t="str">
        <f t="shared" si="9"/>
        <v/>
      </c>
      <c r="AL114" s="4"/>
      <c r="AM114" s="4" t="str">
        <f t="shared" si="10"/>
        <v/>
      </c>
      <c r="AN114" s="4" t="str">
        <f>IFERROR(_xlfn.XLOOKUP(HEX2DEC(MID(AM114,LEN(AM114)-7,4)),mscod[MSCOD_BY_VAL],mscod[Description],""),"")</f>
        <v/>
      </c>
      <c r="AO114" s="4" t="str" cm="1">
        <f t="array" ref="AO114">_xlfn.XLOOKUP($K$1&amp;$Q$1&amp;"DPMB_SOCKET0__COMPUTE"&amp;AK114&amp;"__UNCORE__CHA__CHA"&amp;AL114&amp;"__UTIL__MC_ADDR"&amp;$B$1,cha_mc[VisualId]&amp;cha_mc[UnitTestingSeqKey]&amp;cha_mc[TestName],cha_mc[TestValue],"")</f>
        <v/>
      </c>
      <c r="AP114" s="4" t="str" cm="1">
        <f t="array" ref="AP114">_xlfn.XLOOKUP($K$1&amp;$Q$1&amp;"DPMB_SOCKET0__COMPUTE"&amp;AK114&amp;"__UNCORE__CHA__CHA"&amp;AL114&amp;"__UTIL__MC_MISC"&amp;$B$1,cha_mc[VisualId]&amp;cha_mc[UnitTestingSeqKey]&amp;cha_mc[TestName],cha_mc[TestValue],"")</f>
        <v/>
      </c>
      <c r="AQ114" s="30"/>
      <c r="AR114" s="30"/>
      <c r="AS114" s="30"/>
      <c r="AT114" s="30"/>
      <c r="AU114" s="30"/>
      <c r="AV114" s="4" t="str" cm="1">
        <f t="array" ref="AV114">_xlfn.XLOOKUP($K$1&amp;$Q$1&amp;"DPMB_SOCKET0__COMPUTE"&amp;AK114&amp;"__UNCORE__CHA__CHA"&amp;AL114&amp;"__UTIL__MC_MISC3"&amp;$B$1,cha_mc[VisualId]&amp;cha_mc[UnitTestingSeqKey]&amp;cha_mc[TestName],cha_mc[TestValue],"")</f>
        <v/>
      </c>
      <c r="AW114" s="30"/>
      <c r="AX114" s="30"/>
      <c r="AY114" s="30"/>
      <c r="AZ114" s="30"/>
      <c r="BA114" s="30"/>
    </row>
    <row r="115" spans="1:53" x14ac:dyDescent="0.3">
      <c r="A115" s="4" t="str">
        <f t="shared" si="11"/>
        <v>74X97M1000031</v>
      </c>
      <c r="B115" s="4" t="str">
        <f t="shared" si="7"/>
        <v>1-1</v>
      </c>
      <c r="C115" s="4">
        <v>1</v>
      </c>
      <c r="D115" s="4">
        <v>111</v>
      </c>
      <c r="E115" s="4" t="str" cm="1">
        <f t="array" ref="E115">_xlfn.XLOOKUP(A115&amp;B115&amp;$E$1&amp;"DPMB_SOCKET0__COMPUTE"&amp;C115&amp;"__CPU__CORE"&amp;Check!D115&amp;"__ML2_CR_MC3_STATUS"&amp;$B$1,core_mc[VisualId]&amp;core_mc[PPVRun_MC]&amp;core_mc[Lot]&amp;core_mc[TestNameWithoutNumeric],core_mc[TestValue],"")</f>
        <v/>
      </c>
      <c r="F115" s="4">
        <v>111</v>
      </c>
      <c r="G115" s="4" t="str" cm="1">
        <f t="array" ref="G115">_xlfn.XLOOKUP(A115&amp;B115&amp;$E$1&amp;"DPMB_SOCKET0__COMPUTE"&amp;C115&amp;"__UNCORE__CHA__CHA"&amp;Check!F115&amp;"__UTIL__MC_STATUS"&amp;$B$1,cha_mc[VisualId]&amp;cha_mc[PPVRun_MC]&amp;cha_mc[Lot]&amp;cha_mc[TestNameWithoutNumeric],cha_mc[TestValue],"")</f>
        <v/>
      </c>
      <c r="H115" s="4" t="str">
        <f t="shared" si="8"/>
        <v/>
      </c>
      <c r="AK115" s="4" t="str">
        <f t="shared" si="9"/>
        <v/>
      </c>
      <c r="AL115" s="4"/>
      <c r="AM115" s="4" t="str">
        <f t="shared" si="10"/>
        <v/>
      </c>
      <c r="AN115" s="4" t="str">
        <f>IFERROR(_xlfn.XLOOKUP(HEX2DEC(MID(AM115,LEN(AM115)-7,4)),mscod[MSCOD_BY_VAL],mscod[Description],""),"")</f>
        <v/>
      </c>
      <c r="AO115" s="4" t="str" cm="1">
        <f t="array" ref="AO115">_xlfn.XLOOKUP($K$1&amp;$Q$1&amp;"DPMB_SOCKET0__COMPUTE"&amp;AK115&amp;"__UNCORE__CHA__CHA"&amp;AL115&amp;"__UTIL__MC_ADDR"&amp;$B$1,cha_mc[VisualId]&amp;cha_mc[UnitTestingSeqKey]&amp;cha_mc[TestName],cha_mc[TestValue],"")</f>
        <v/>
      </c>
      <c r="AP115" s="4" t="str" cm="1">
        <f t="array" ref="AP115">_xlfn.XLOOKUP($K$1&amp;$Q$1&amp;"DPMB_SOCKET0__COMPUTE"&amp;AK115&amp;"__UNCORE__CHA__CHA"&amp;AL115&amp;"__UTIL__MC_MISC"&amp;$B$1,cha_mc[VisualId]&amp;cha_mc[UnitTestingSeqKey]&amp;cha_mc[TestName],cha_mc[TestValue],"")</f>
        <v/>
      </c>
      <c r="AQ115" s="30"/>
      <c r="AR115" s="30"/>
      <c r="AS115" s="30"/>
      <c r="AT115" s="30"/>
      <c r="AU115" s="30"/>
      <c r="AV115" s="4" t="str" cm="1">
        <f t="array" ref="AV115">_xlfn.XLOOKUP($K$1&amp;$Q$1&amp;"DPMB_SOCKET0__COMPUTE"&amp;AK115&amp;"__UNCORE__CHA__CHA"&amp;AL115&amp;"__UTIL__MC_MISC3"&amp;$B$1,cha_mc[VisualId]&amp;cha_mc[UnitTestingSeqKey]&amp;cha_mc[TestName],cha_mc[TestValue],"")</f>
        <v/>
      </c>
      <c r="AW115" s="30"/>
      <c r="AX115" s="30"/>
      <c r="AY115" s="30"/>
      <c r="AZ115" s="30"/>
      <c r="BA115" s="30"/>
    </row>
    <row r="116" spans="1:53" x14ac:dyDescent="0.3">
      <c r="A116" s="4" t="str">
        <f t="shared" si="11"/>
        <v>74X97M1000031</v>
      </c>
      <c r="B116" s="4" t="str">
        <f t="shared" si="7"/>
        <v>1-1</v>
      </c>
      <c r="C116" s="4">
        <v>1</v>
      </c>
      <c r="D116" s="4">
        <v>112</v>
      </c>
      <c r="E116" s="4" t="str" cm="1">
        <f t="array" ref="E116">_xlfn.XLOOKUP(A116&amp;B116&amp;$E$1&amp;"DPMB_SOCKET0__COMPUTE"&amp;C116&amp;"__CPU__CORE"&amp;Check!D116&amp;"__ML2_CR_MC3_STATUS"&amp;$B$1,core_mc[VisualId]&amp;core_mc[PPVRun_MC]&amp;core_mc[Lot]&amp;core_mc[TestNameWithoutNumeric],core_mc[TestValue],"")</f>
        <v/>
      </c>
      <c r="F116" s="4">
        <v>112</v>
      </c>
      <c r="G116" s="4" t="str" cm="1">
        <f t="array" ref="G116">_xlfn.XLOOKUP(A116&amp;B116&amp;$E$1&amp;"DPMB_SOCKET0__COMPUTE"&amp;C116&amp;"__UNCORE__CHA__CHA"&amp;Check!F116&amp;"__UTIL__MC_STATUS"&amp;$B$1,cha_mc[VisualId]&amp;cha_mc[PPVRun_MC]&amp;cha_mc[Lot]&amp;cha_mc[TestNameWithoutNumeric],cha_mc[TestValue],"")</f>
        <v/>
      </c>
      <c r="H116" s="4" t="str">
        <f t="shared" si="8"/>
        <v/>
      </c>
      <c r="AK116" s="4" t="str">
        <f t="shared" si="9"/>
        <v/>
      </c>
      <c r="AL116" s="4"/>
      <c r="AM116" s="4" t="str">
        <f t="shared" si="10"/>
        <v/>
      </c>
      <c r="AN116" s="4" t="str">
        <f>IFERROR(_xlfn.XLOOKUP(HEX2DEC(MID(AM116,LEN(AM116)-7,4)),mscod[MSCOD_BY_VAL],mscod[Description],""),"")</f>
        <v/>
      </c>
      <c r="AO116" s="4" t="str" cm="1">
        <f t="array" ref="AO116">_xlfn.XLOOKUP($K$1&amp;$Q$1&amp;"DPMB_SOCKET0__COMPUTE"&amp;AK116&amp;"__UNCORE__CHA__CHA"&amp;AL116&amp;"__UTIL__MC_ADDR"&amp;$B$1,cha_mc[VisualId]&amp;cha_mc[UnitTestingSeqKey]&amp;cha_mc[TestName],cha_mc[TestValue],"")</f>
        <v/>
      </c>
      <c r="AP116" s="4" t="str" cm="1">
        <f t="array" ref="AP116">_xlfn.XLOOKUP($K$1&amp;$Q$1&amp;"DPMB_SOCKET0__COMPUTE"&amp;AK116&amp;"__UNCORE__CHA__CHA"&amp;AL116&amp;"__UTIL__MC_MISC"&amp;$B$1,cha_mc[VisualId]&amp;cha_mc[UnitTestingSeqKey]&amp;cha_mc[TestName],cha_mc[TestValue],"")</f>
        <v/>
      </c>
      <c r="AQ116" s="30"/>
      <c r="AR116" s="30"/>
      <c r="AS116" s="30"/>
      <c r="AT116" s="30"/>
      <c r="AU116" s="30"/>
      <c r="AV116" s="4" t="str" cm="1">
        <f t="array" ref="AV116">_xlfn.XLOOKUP($K$1&amp;$Q$1&amp;"DPMB_SOCKET0__COMPUTE"&amp;AK116&amp;"__UNCORE__CHA__CHA"&amp;AL116&amp;"__UTIL__MC_MISC3"&amp;$B$1,cha_mc[VisualId]&amp;cha_mc[UnitTestingSeqKey]&amp;cha_mc[TestName],cha_mc[TestValue],"")</f>
        <v/>
      </c>
      <c r="AW116" s="30"/>
      <c r="AX116" s="30"/>
      <c r="AY116" s="30"/>
      <c r="AZ116" s="30"/>
      <c r="BA116" s="30"/>
    </row>
    <row r="117" spans="1:53" x14ac:dyDescent="0.3">
      <c r="A117" s="4" t="str">
        <f t="shared" si="11"/>
        <v>74X97M1000031</v>
      </c>
      <c r="B117" s="4" t="str">
        <f t="shared" si="7"/>
        <v>1-1</v>
      </c>
      <c r="C117" s="4">
        <v>1</v>
      </c>
      <c r="D117" s="4">
        <v>113</v>
      </c>
      <c r="E117" s="4" t="str" cm="1">
        <f t="array" ref="E117">_xlfn.XLOOKUP(A117&amp;B117&amp;$E$1&amp;"DPMB_SOCKET0__COMPUTE"&amp;C117&amp;"__CPU__CORE"&amp;Check!D117&amp;"__ML2_CR_MC3_STATUS"&amp;$B$1,core_mc[VisualId]&amp;core_mc[PPVRun_MC]&amp;core_mc[Lot]&amp;core_mc[TestNameWithoutNumeric],core_mc[TestValue],"")</f>
        <v/>
      </c>
      <c r="F117" s="4">
        <v>113</v>
      </c>
      <c r="G117" s="4" t="str" cm="1">
        <f t="array" ref="G117">_xlfn.XLOOKUP(A117&amp;B117&amp;$E$1&amp;"DPMB_SOCKET0__COMPUTE"&amp;C117&amp;"__UNCORE__CHA__CHA"&amp;Check!F117&amp;"__UTIL__MC_STATUS"&amp;$B$1,cha_mc[VisualId]&amp;cha_mc[PPVRun_MC]&amp;cha_mc[Lot]&amp;cha_mc[TestNameWithoutNumeric],cha_mc[TestValue],"")</f>
        <v/>
      </c>
      <c r="H117" s="4" t="str">
        <f t="shared" si="8"/>
        <v/>
      </c>
      <c r="AK117" s="4" t="str">
        <f t="shared" si="9"/>
        <v/>
      </c>
      <c r="AL117" s="4"/>
      <c r="AM117" s="4" t="str">
        <f t="shared" si="10"/>
        <v/>
      </c>
      <c r="AN117" s="4" t="str">
        <f>IFERROR(_xlfn.XLOOKUP(HEX2DEC(MID(AM117,LEN(AM117)-7,4)),mscod[MSCOD_BY_VAL],mscod[Description],""),"")</f>
        <v/>
      </c>
      <c r="AO117" s="4" t="str" cm="1">
        <f t="array" ref="AO117">_xlfn.XLOOKUP($K$1&amp;$Q$1&amp;"DPMB_SOCKET0__COMPUTE"&amp;AK117&amp;"__UNCORE__CHA__CHA"&amp;AL117&amp;"__UTIL__MC_ADDR"&amp;$B$1,cha_mc[VisualId]&amp;cha_mc[UnitTestingSeqKey]&amp;cha_mc[TestName],cha_mc[TestValue],"")</f>
        <v/>
      </c>
      <c r="AP117" s="4" t="str" cm="1">
        <f t="array" ref="AP117">_xlfn.XLOOKUP($K$1&amp;$Q$1&amp;"DPMB_SOCKET0__COMPUTE"&amp;AK117&amp;"__UNCORE__CHA__CHA"&amp;AL117&amp;"__UTIL__MC_MISC"&amp;$B$1,cha_mc[VisualId]&amp;cha_mc[UnitTestingSeqKey]&amp;cha_mc[TestName],cha_mc[TestValue],"")</f>
        <v/>
      </c>
      <c r="AQ117" s="30"/>
      <c r="AR117" s="30"/>
      <c r="AS117" s="30"/>
      <c r="AT117" s="30"/>
      <c r="AU117" s="30"/>
      <c r="AV117" s="4" t="str" cm="1">
        <f t="array" ref="AV117">_xlfn.XLOOKUP($K$1&amp;$Q$1&amp;"DPMB_SOCKET0__COMPUTE"&amp;AK117&amp;"__UNCORE__CHA__CHA"&amp;AL117&amp;"__UTIL__MC_MISC3"&amp;$B$1,cha_mc[VisualId]&amp;cha_mc[UnitTestingSeqKey]&amp;cha_mc[TestName],cha_mc[TestValue],"")</f>
        <v/>
      </c>
      <c r="AW117" s="30"/>
      <c r="AX117" s="30"/>
      <c r="AY117" s="30"/>
      <c r="AZ117" s="30"/>
      <c r="BA117" s="30"/>
    </row>
    <row r="118" spans="1:53" x14ac:dyDescent="0.3">
      <c r="A118" s="4" t="str">
        <f t="shared" si="11"/>
        <v>74X97M1000031</v>
      </c>
      <c r="B118" s="4" t="str">
        <f t="shared" si="7"/>
        <v>1-1</v>
      </c>
      <c r="C118" s="4">
        <v>1</v>
      </c>
      <c r="D118" s="4">
        <v>114</v>
      </c>
      <c r="E118" s="4" t="str" cm="1">
        <f t="array" ref="E118">_xlfn.XLOOKUP(A118&amp;B118&amp;$E$1&amp;"DPMB_SOCKET0__COMPUTE"&amp;C118&amp;"__CPU__CORE"&amp;Check!D118&amp;"__ML2_CR_MC3_STATUS"&amp;$B$1,core_mc[VisualId]&amp;core_mc[PPVRun_MC]&amp;core_mc[Lot]&amp;core_mc[TestNameWithoutNumeric],core_mc[TestValue],"")</f>
        <v/>
      </c>
      <c r="F118" s="4">
        <v>114</v>
      </c>
      <c r="G118" s="4" t="str" cm="1">
        <f t="array" ref="G118">_xlfn.XLOOKUP(A118&amp;B118&amp;$E$1&amp;"DPMB_SOCKET0__COMPUTE"&amp;C118&amp;"__UNCORE__CHA__CHA"&amp;Check!F118&amp;"__UTIL__MC_STATUS"&amp;$B$1,cha_mc[VisualId]&amp;cha_mc[PPVRun_MC]&amp;cha_mc[Lot]&amp;cha_mc[TestNameWithoutNumeric],cha_mc[TestValue],"")</f>
        <v/>
      </c>
      <c r="H118" s="4" t="str">
        <f t="shared" si="8"/>
        <v/>
      </c>
      <c r="AK118" s="4" t="str">
        <f t="shared" si="9"/>
        <v/>
      </c>
      <c r="AL118" s="4"/>
      <c r="AM118" s="4" t="str">
        <f t="shared" si="10"/>
        <v/>
      </c>
      <c r="AN118" s="4" t="str">
        <f>IFERROR(_xlfn.XLOOKUP(HEX2DEC(MID(AM118,LEN(AM118)-7,4)),mscod[MSCOD_BY_VAL],mscod[Description],""),"")</f>
        <v/>
      </c>
      <c r="AO118" s="4" t="str" cm="1">
        <f t="array" ref="AO118">_xlfn.XLOOKUP($K$1&amp;$Q$1&amp;"DPMB_SOCKET0__COMPUTE"&amp;AK118&amp;"__UNCORE__CHA__CHA"&amp;AL118&amp;"__UTIL__MC_ADDR"&amp;$B$1,cha_mc[VisualId]&amp;cha_mc[UnitTestingSeqKey]&amp;cha_mc[TestName],cha_mc[TestValue],"")</f>
        <v/>
      </c>
      <c r="AP118" s="4" t="str" cm="1">
        <f t="array" ref="AP118">_xlfn.XLOOKUP($K$1&amp;$Q$1&amp;"DPMB_SOCKET0__COMPUTE"&amp;AK118&amp;"__UNCORE__CHA__CHA"&amp;AL118&amp;"__UTIL__MC_MISC"&amp;$B$1,cha_mc[VisualId]&amp;cha_mc[UnitTestingSeqKey]&amp;cha_mc[TestName],cha_mc[TestValue],"")</f>
        <v/>
      </c>
      <c r="AQ118" s="30"/>
      <c r="AR118" s="30"/>
      <c r="AS118" s="30"/>
      <c r="AT118" s="30"/>
      <c r="AU118" s="30"/>
      <c r="AV118" s="4" t="str" cm="1">
        <f t="array" ref="AV118">_xlfn.XLOOKUP($K$1&amp;$Q$1&amp;"DPMB_SOCKET0__COMPUTE"&amp;AK118&amp;"__UNCORE__CHA__CHA"&amp;AL118&amp;"__UTIL__MC_MISC3"&amp;$B$1,cha_mc[VisualId]&amp;cha_mc[UnitTestingSeqKey]&amp;cha_mc[TestName],cha_mc[TestValue],"")</f>
        <v/>
      </c>
      <c r="AW118" s="30"/>
      <c r="AX118" s="30"/>
      <c r="AY118" s="30"/>
      <c r="AZ118" s="30"/>
      <c r="BA118" s="30"/>
    </row>
    <row r="119" spans="1:53" x14ac:dyDescent="0.3">
      <c r="A119" s="4" t="str">
        <f t="shared" si="11"/>
        <v>74X97M1000031</v>
      </c>
      <c r="B119" s="4" t="str">
        <f t="shared" si="7"/>
        <v>1-1</v>
      </c>
      <c r="C119" s="4">
        <v>1</v>
      </c>
      <c r="D119" s="4">
        <v>115</v>
      </c>
      <c r="E119" s="4" t="str" cm="1">
        <f t="array" ref="E119">_xlfn.XLOOKUP(A119&amp;B119&amp;$E$1&amp;"DPMB_SOCKET0__COMPUTE"&amp;C119&amp;"__CPU__CORE"&amp;Check!D119&amp;"__ML2_CR_MC3_STATUS"&amp;$B$1,core_mc[VisualId]&amp;core_mc[PPVRun_MC]&amp;core_mc[Lot]&amp;core_mc[TestNameWithoutNumeric],core_mc[TestValue],"")</f>
        <v/>
      </c>
      <c r="F119" s="4">
        <v>115</v>
      </c>
      <c r="G119" s="4" t="str" cm="1">
        <f t="array" ref="G119">_xlfn.XLOOKUP(A119&amp;B119&amp;$E$1&amp;"DPMB_SOCKET0__COMPUTE"&amp;C119&amp;"__UNCORE__CHA__CHA"&amp;Check!F119&amp;"__UTIL__MC_STATUS"&amp;$B$1,cha_mc[VisualId]&amp;cha_mc[PPVRun_MC]&amp;cha_mc[Lot]&amp;cha_mc[TestNameWithoutNumeric],cha_mc[TestValue],"")</f>
        <v/>
      </c>
      <c r="H119" s="4" t="str">
        <f t="shared" si="8"/>
        <v/>
      </c>
      <c r="AK119" s="4" t="str">
        <f t="shared" si="9"/>
        <v/>
      </c>
      <c r="AL119" s="4"/>
      <c r="AM119" s="4" t="str">
        <f t="shared" si="10"/>
        <v/>
      </c>
      <c r="AN119" s="4" t="str">
        <f>IFERROR(_xlfn.XLOOKUP(HEX2DEC(MID(AM119,LEN(AM119)-7,4)),mscod[MSCOD_BY_VAL],mscod[Description],""),"")</f>
        <v/>
      </c>
      <c r="AO119" s="4" t="str" cm="1">
        <f t="array" ref="AO119">_xlfn.XLOOKUP($K$1&amp;$Q$1&amp;"DPMB_SOCKET0__COMPUTE"&amp;AK119&amp;"__UNCORE__CHA__CHA"&amp;AL119&amp;"__UTIL__MC_ADDR"&amp;$B$1,cha_mc[VisualId]&amp;cha_mc[UnitTestingSeqKey]&amp;cha_mc[TestName],cha_mc[TestValue],"")</f>
        <v/>
      </c>
      <c r="AP119" s="4" t="str" cm="1">
        <f t="array" ref="AP119">_xlfn.XLOOKUP($K$1&amp;$Q$1&amp;"DPMB_SOCKET0__COMPUTE"&amp;AK119&amp;"__UNCORE__CHA__CHA"&amp;AL119&amp;"__UTIL__MC_MISC"&amp;$B$1,cha_mc[VisualId]&amp;cha_mc[UnitTestingSeqKey]&amp;cha_mc[TestName],cha_mc[TestValue],"")</f>
        <v/>
      </c>
      <c r="AQ119" s="30"/>
      <c r="AR119" s="30"/>
      <c r="AS119" s="30"/>
      <c r="AT119" s="30"/>
      <c r="AU119" s="30"/>
      <c r="AV119" s="4" t="str" cm="1">
        <f t="array" ref="AV119">_xlfn.XLOOKUP($K$1&amp;$Q$1&amp;"DPMB_SOCKET0__COMPUTE"&amp;AK119&amp;"__UNCORE__CHA__CHA"&amp;AL119&amp;"__UTIL__MC_MISC3"&amp;$B$1,cha_mc[VisualId]&amp;cha_mc[UnitTestingSeqKey]&amp;cha_mc[TestName],cha_mc[TestValue],"")</f>
        <v/>
      </c>
      <c r="AW119" s="30"/>
      <c r="AX119" s="30"/>
      <c r="AY119" s="30"/>
      <c r="AZ119" s="30"/>
      <c r="BA119" s="30"/>
    </row>
    <row r="120" spans="1:53" x14ac:dyDescent="0.3">
      <c r="A120" s="4" t="str">
        <f t="shared" si="11"/>
        <v>74X97M1000031</v>
      </c>
      <c r="B120" s="4" t="str">
        <f t="shared" si="7"/>
        <v>1-1</v>
      </c>
      <c r="C120" s="4">
        <v>1</v>
      </c>
      <c r="D120" s="4">
        <v>116</v>
      </c>
      <c r="E120" s="4" t="str" cm="1">
        <f t="array" ref="E120">_xlfn.XLOOKUP(A120&amp;B120&amp;$E$1&amp;"DPMB_SOCKET0__COMPUTE"&amp;C120&amp;"__CPU__CORE"&amp;Check!D120&amp;"__ML2_CR_MC3_STATUS"&amp;$B$1,core_mc[VisualId]&amp;core_mc[PPVRun_MC]&amp;core_mc[Lot]&amp;core_mc[TestNameWithoutNumeric],core_mc[TestValue],"")</f>
        <v/>
      </c>
      <c r="F120" s="4">
        <v>116</v>
      </c>
      <c r="G120" s="4" t="str" cm="1">
        <f t="array" ref="G120">_xlfn.XLOOKUP(A120&amp;B120&amp;$E$1&amp;"DPMB_SOCKET0__COMPUTE"&amp;C120&amp;"__UNCORE__CHA__CHA"&amp;Check!F120&amp;"__UTIL__MC_STATUS"&amp;$B$1,cha_mc[VisualId]&amp;cha_mc[PPVRun_MC]&amp;cha_mc[Lot]&amp;cha_mc[TestNameWithoutNumeric],cha_mc[TestValue],"")</f>
        <v/>
      </c>
      <c r="H120" s="4" t="str">
        <f t="shared" si="8"/>
        <v/>
      </c>
      <c r="AK120" s="4" t="str">
        <f t="shared" si="9"/>
        <v/>
      </c>
      <c r="AL120" s="4"/>
      <c r="AM120" s="4" t="str">
        <f t="shared" si="10"/>
        <v/>
      </c>
      <c r="AN120" s="4" t="str">
        <f>IFERROR(_xlfn.XLOOKUP(HEX2DEC(MID(AM120,LEN(AM120)-7,4)),mscod[MSCOD_BY_VAL],mscod[Description],""),"")</f>
        <v/>
      </c>
      <c r="AO120" s="4" t="str" cm="1">
        <f t="array" ref="AO120">_xlfn.XLOOKUP($K$1&amp;$Q$1&amp;"DPMB_SOCKET0__COMPUTE"&amp;AK120&amp;"__UNCORE__CHA__CHA"&amp;AL120&amp;"__UTIL__MC_ADDR"&amp;$B$1,cha_mc[VisualId]&amp;cha_mc[UnitTestingSeqKey]&amp;cha_mc[TestName],cha_mc[TestValue],"")</f>
        <v/>
      </c>
      <c r="AP120" s="4" t="str" cm="1">
        <f t="array" ref="AP120">_xlfn.XLOOKUP($K$1&amp;$Q$1&amp;"DPMB_SOCKET0__COMPUTE"&amp;AK120&amp;"__UNCORE__CHA__CHA"&amp;AL120&amp;"__UTIL__MC_MISC"&amp;$B$1,cha_mc[VisualId]&amp;cha_mc[UnitTestingSeqKey]&amp;cha_mc[TestName],cha_mc[TestValue],"")</f>
        <v/>
      </c>
      <c r="AQ120" s="30"/>
      <c r="AR120" s="30"/>
      <c r="AS120" s="30"/>
      <c r="AT120" s="30"/>
      <c r="AU120" s="30"/>
      <c r="AV120" s="4" t="str" cm="1">
        <f t="array" ref="AV120">_xlfn.XLOOKUP($K$1&amp;$Q$1&amp;"DPMB_SOCKET0__COMPUTE"&amp;AK120&amp;"__UNCORE__CHA__CHA"&amp;AL120&amp;"__UTIL__MC_MISC3"&amp;$B$1,cha_mc[VisualId]&amp;cha_mc[UnitTestingSeqKey]&amp;cha_mc[TestName],cha_mc[TestValue],"")</f>
        <v/>
      </c>
      <c r="AW120" s="30"/>
      <c r="AX120" s="30"/>
      <c r="AY120" s="30"/>
      <c r="AZ120" s="30"/>
      <c r="BA120" s="30"/>
    </row>
    <row r="121" spans="1:53" x14ac:dyDescent="0.3">
      <c r="A121" s="4" t="str">
        <f t="shared" si="11"/>
        <v>74X97M1000031</v>
      </c>
      <c r="B121" s="4" t="str">
        <f t="shared" si="7"/>
        <v>1-1</v>
      </c>
      <c r="C121" s="4">
        <v>1</v>
      </c>
      <c r="D121" s="4">
        <v>117</v>
      </c>
      <c r="E121" s="4" t="str" cm="1">
        <f t="array" ref="E121">_xlfn.XLOOKUP(A121&amp;B121&amp;$E$1&amp;"DPMB_SOCKET0__COMPUTE"&amp;C121&amp;"__CPU__CORE"&amp;Check!D121&amp;"__ML2_CR_MC3_STATUS"&amp;$B$1,core_mc[VisualId]&amp;core_mc[PPVRun_MC]&amp;core_mc[Lot]&amp;core_mc[TestNameWithoutNumeric],core_mc[TestValue],"")</f>
        <v/>
      </c>
      <c r="F121" s="4">
        <v>117</v>
      </c>
      <c r="G121" s="4" t="str" cm="1">
        <f t="array" ref="G121">_xlfn.XLOOKUP(A121&amp;B121&amp;$E$1&amp;"DPMB_SOCKET0__COMPUTE"&amp;C121&amp;"__UNCORE__CHA__CHA"&amp;Check!F121&amp;"__UTIL__MC_STATUS"&amp;$B$1,cha_mc[VisualId]&amp;cha_mc[PPVRun_MC]&amp;cha_mc[Lot]&amp;cha_mc[TestNameWithoutNumeric],cha_mc[TestValue],"")</f>
        <v/>
      </c>
      <c r="H121" s="4" t="str">
        <f t="shared" si="8"/>
        <v/>
      </c>
      <c r="AK121" s="4" t="str">
        <f t="shared" si="9"/>
        <v/>
      </c>
      <c r="AL121" s="4"/>
      <c r="AM121" s="4" t="str">
        <f t="shared" si="10"/>
        <v/>
      </c>
      <c r="AN121" s="4" t="str">
        <f>IFERROR(_xlfn.XLOOKUP(HEX2DEC(MID(AM121,LEN(AM121)-7,4)),mscod[MSCOD_BY_VAL],mscod[Description],""),"")</f>
        <v/>
      </c>
      <c r="AO121" s="4" t="str" cm="1">
        <f t="array" ref="AO121">_xlfn.XLOOKUP($K$1&amp;$Q$1&amp;"DPMB_SOCKET0__COMPUTE"&amp;AK121&amp;"__UNCORE__CHA__CHA"&amp;AL121&amp;"__UTIL__MC_ADDR"&amp;$B$1,cha_mc[VisualId]&amp;cha_mc[UnitTestingSeqKey]&amp;cha_mc[TestName],cha_mc[TestValue],"")</f>
        <v/>
      </c>
      <c r="AP121" s="4" t="str" cm="1">
        <f t="array" ref="AP121">_xlfn.XLOOKUP($K$1&amp;$Q$1&amp;"DPMB_SOCKET0__COMPUTE"&amp;AK121&amp;"__UNCORE__CHA__CHA"&amp;AL121&amp;"__UTIL__MC_MISC"&amp;$B$1,cha_mc[VisualId]&amp;cha_mc[UnitTestingSeqKey]&amp;cha_mc[TestName],cha_mc[TestValue],"")</f>
        <v/>
      </c>
      <c r="AQ121" s="30"/>
      <c r="AR121" s="30"/>
      <c r="AS121" s="30"/>
      <c r="AT121" s="30"/>
      <c r="AU121" s="30"/>
      <c r="AV121" s="4" t="str" cm="1">
        <f t="array" ref="AV121">_xlfn.XLOOKUP($K$1&amp;$Q$1&amp;"DPMB_SOCKET0__COMPUTE"&amp;AK121&amp;"__UNCORE__CHA__CHA"&amp;AL121&amp;"__UTIL__MC_MISC3"&amp;$B$1,cha_mc[VisualId]&amp;cha_mc[UnitTestingSeqKey]&amp;cha_mc[TestName],cha_mc[TestValue],"")</f>
        <v/>
      </c>
      <c r="AW121" s="30"/>
      <c r="AX121" s="30"/>
      <c r="AY121" s="30"/>
      <c r="AZ121" s="30"/>
      <c r="BA121" s="30"/>
    </row>
    <row r="122" spans="1:53" x14ac:dyDescent="0.3">
      <c r="A122" s="4" t="str">
        <f t="shared" si="11"/>
        <v>74X97M1000031</v>
      </c>
      <c r="B122" s="4" t="str">
        <f t="shared" si="7"/>
        <v>1-1</v>
      </c>
      <c r="C122" s="4">
        <v>1</v>
      </c>
      <c r="D122" s="4">
        <v>118</v>
      </c>
      <c r="E122" s="4" t="str" cm="1">
        <f t="array" ref="E122">_xlfn.XLOOKUP(A122&amp;B122&amp;$E$1&amp;"DPMB_SOCKET0__COMPUTE"&amp;C122&amp;"__CPU__CORE"&amp;Check!D122&amp;"__ML2_CR_MC3_STATUS"&amp;$B$1,core_mc[VisualId]&amp;core_mc[PPVRun_MC]&amp;core_mc[Lot]&amp;core_mc[TestNameWithoutNumeric],core_mc[TestValue],"")</f>
        <v/>
      </c>
      <c r="F122" s="4">
        <v>118</v>
      </c>
      <c r="G122" s="4" t="str" cm="1">
        <f t="array" ref="G122">_xlfn.XLOOKUP(A122&amp;B122&amp;$E$1&amp;"DPMB_SOCKET0__COMPUTE"&amp;C122&amp;"__UNCORE__CHA__CHA"&amp;Check!F122&amp;"__UTIL__MC_STATUS"&amp;$B$1,cha_mc[VisualId]&amp;cha_mc[PPVRun_MC]&amp;cha_mc[Lot]&amp;cha_mc[TestNameWithoutNumeric],cha_mc[TestValue],"")</f>
        <v/>
      </c>
      <c r="H122" s="4" t="str">
        <f t="shared" si="8"/>
        <v/>
      </c>
      <c r="AK122" s="4" t="str">
        <f t="shared" si="9"/>
        <v/>
      </c>
      <c r="AL122" s="4"/>
      <c r="AM122" s="4" t="str">
        <f t="shared" si="10"/>
        <v/>
      </c>
      <c r="AN122" s="4" t="str">
        <f>IFERROR(_xlfn.XLOOKUP(HEX2DEC(MID(AM122,LEN(AM122)-7,4)),mscod[MSCOD_BY_VAL],mscod[Description],""),"")</f>
        <v/>
      </c>
      <c r="AO122" s="4" t="str" cm="1">
        <f t="array" ref="AO122">_xlfn.XLOOKUP($K$1&amp;$Q$1&amp;"DPMB_SOCKET0__COMPUTE"&amp;AK122&amp;"__UNCORE__CHA__CHA"&amp;AL122&amp;"__UTIL__MC_ADDR"&amp;$B$1,cha_mc[VisualId]&amp;cha_mc[UnitTestingSeqKey]&amp;cha_mc[TestName],cha_mc[TestValue],"")</f>
        <v/>
      </c>
      <c r="AP122" s="4" t="str" cm="1">
        <f t="array" ref="AP122">_xlfn.XLOOKUP($K$1&amp;$Q$1&amp;"DPMB_SOCKET0__COMPUTE"&amp;AK122&amp;"__UNCORE__CHA__CHA"&amp;AL122&amp;"__UTIL__MC_MISC"&amp;$B$1,cha_mc[VisualId]&amp;cha_mc[UnitTestingSeqKey]&amp;cha_mc[TestName],cha_mc[TestValue],"")</f>
        <v/>
      </c>
      <c r="AQ122" s="30"/>
      <c r="AR122" s="30"/>
      <c r="AS122" s="30"/>
      <c r="AT122" s="30"/>
      <c r="AU122" s="30"/>
      <c r="AV122" s="4" t="str" cm="1">
        <f t="array" ref="AV122">_xlfn.XLOOKUP($K$1&amp;$Q$1&amp;"DPMB_SOCKET0__COMPUTE"&amp;AK122&amp;"__UNCORE__CHA__CHA"&amp;AL122&amp;"__UTIL__MC_MISC3"&amp;$B$1,cha_mc[VisualId]&amp;cha_mc[UnitTestingSeqKey]&amp;cha_mc[TestName],cha_mc[TestValue],"")</f>
        <v/>
      </c>
      <c r="AW122" s="30"/>
      <c r="AX122" s="30"/>
      <c r="AY122" s="30"/>
      <c r="AZ122" s="30"/>
      <c r="BA122" s="30"/>
    </row>
    <row r="123" spans="1:53" x14ac:dyDescent="0.3">
      <c r="A123" s="4" t="str">
        <f t="shared" si="11"/>
        <v>74X97M1000031</v>
      </c>
      <c r="B123" s="4" t="str">
        <f t="shared" si="7"/>
        <v>1-1</v>
      </c>
      <c r="C123" s="4">
        <v>1</v>
      </c>
      <c r="D123" s="4">
        <v>119</v>
      </c>
      <c r="E123" s="4" t="str" cm="1">
        <f t="array" ref="E123">_xlfn.XLOOKUP(A123&amp;B123&amp;$E$1&amp;"DPMB_SOCKET0__COMPUTE"&amp;C123&amp;"__CPU__CORE"&amp;Check!D123&amp;"__ML2_CR_MC3_STATUS"&amp;$B$1,core_mc[VisualId]&amp;core_mc[PPVRun_MC]&amp;core_mc[Lot]&amp;core_mc[TestNameWithoutNumeric],core_mc[TestValue],"")</f>
        <v/>
      </c>
      <c r="F123" s="4">
        <v>119</v>
      </c>
      <c r="G123" s="4" t="str" cm="1">
        <f t="array" ref="G123">_xlfn.XLOOKUP(A123&amp;B123&amp;$E$1&amp;"DPMB_SOCKET0__COMPUTE"&amp;C123&amp;"__UNCORE__CHA__CHA"&amp;Check!F123&amp;"__UTIL__MC_STATUS"&amp;$B$1,cha_mc[VisualId]&amp;cha_mc[PPVRun_MC]&amp;cha_mc[Lot]&amp;cha_mc[TestNameWithoutNumeric],cha_mc[TestValue],"")</f>
        <v/>
      </c>
      <c r="H123" s="4" t="str">
        <f t="shared" si="8"/>
        <v/>
      </c>
      <c r="AK123" s="4" t="str">
        <f t="shared" si="9"/>
        <v/>
      </c>
      <c r="AL123" s="4"/>
      <c r="AM123" s="4" t="str">
        <f t="shared" si="10"/>
        <v/>
      </c>
      <c r="AN123" s="4" t="str">
        <f>IFERROR(_xlfn.XLOOKUP(HEX2DEC(MID(AM123,LEN(AM123)-7,4)),mscod[MSCOD_BY_VAL],mscod[Description],""),"")</f>
        <v/>
      </c>
      <c r="AO123" s="4" t="str" cm="1">
        <f t="array" ref="AO123">_xlfn.XLOOKUP($K$1&amp;$Q$1&amp;"DPMB_SOCKET0__COMPUTE"&amp;AK123&amp;"__UNCORE__CHA__CHA"&amp;AL123&amp;"__UTIL__MC_ADDR"&amp;$B$1,cha_mc[VisualId]&amp;cha_mc[UnitTestingSeqKey]&amp;cha_mc[TestName],cha_mc[TestValue],"")</f>
        <v/>
      </c>
      <c r="AP123" s="4" t="str" cm="1">
        <f t="array" ref="AP123">_xlfn.XLOOKUP($K$1&amp;$Q$1&amp;"DPMB_SOCKET0__COMPUTE"&amp;AK123&amp;"__UNCORE__CHA__CHA"&amp;AL123&amp;"__UTIL__MC_MISC"&amp;$B$1,cha_mc[VisualId]&amp;cha_mc[UnitTestingSeqKey]&amp;cha_mc[TestName],cha_mc[TestValue],"")</f>
        <v/>
      </c>
      <c r="AQ123" s="30"/>
      <c r="AR123" s="30"/>
      <c r="AS123" s="30"/>
      <c r="AT123" s="30"/>
      <c r="AU123" s="30"/>
      <c r="AV123" s="4" t="str" cm="1">
        <f t="array" ref="AV123">_xlfn.XLOOKUP($K$1&amp;$Q$1&amp;"DPMB_SOCKET0__COMPUTE"&amp;AK123&amp;"__UNCORE__CHA__CHA"&amp;AL123&amp;"__UTIL__MC_MISC3"&amp;$B$1,cha_mc[VisualId]&amp;cha_mc[UnitTestingSeqKey]&amp;cha_mc[TestName],cha_mc[TestValue],"")</f>
        <v/>
      </c>
      <c r="AW123" s="30"/>
      <c r="AX123" s="30"/>
      <c r="AY123" s="30"/>
      <c r="AZ123" s="30"/>
      <c r="BA123" s="30"/>
    </row>
    <row r="124" spans="1:53" x14ac:dyDescent="0.3">
      <c r="A124" s="4" t="str">
        <f t="shared" si="11"/>
        <v>74X97M1000031</v>
      </c>
      <c r="B124" s="4" t="str">
        <f t="shared" si="7"/>
        <v>1-1</v>
      </c>
      <c r="C124" s="4">
        <v>2</v>
      </c>
      <c r="D124" s="4">
        <v>120</v>
      </c>
      <c r="E124" s="4" t="str" cm="1">
        <f t="array" ref="E124">_xlfn.XLOOKUP(A124&amp;B124&amp;$E$1&amp;"DPMB_SOCKET0__COMPUTE"&amp;C124&amp;"__CPU__CORE"&amp;Check!D124&amp;"__ML2_CR_MC3_STATUS"&amp;$B$1,core_mc[VisualId]&amp;core_mc[PPVRun_MC]&amp;core_mc[Lot]&amp;core_mc[TestNameWithoutNumeric],core_mc[TestValue],"")</f>
        <v/>
      </c>
      <c r="F124" s="4">
        <v>120</v>
      </c>
      <c r="G124" s="4" t="str" cm="1">
        <f t="array" ref="G124">_xlfn.XLOOKUP(A124&amp;B124&amp;$E$1&amp;"DPMB_SOCKET0__COMPUTE"&amp;C124&amp;"__UNCORE__CHA__CHA"&amp;Check!F124&amp;"__UTIL__MC_STATUS"&amp;$B$1,cha_mc[VisualId]&amp;cha_mc[PPVRun_MC]&amp;cha_mc[Lot]&amp;cha_mc[TestNameWithoutNumeric],cha_mc[TestValue],"")</f>
        <v/>
      </c>
      <c r="H124" s="4" t="str">
        <f t="shared" si="8"/>
        <v/>
      </c>
      <c r="I124" s="6"/>
      <c r="AK124" s="4" t="str">
        <f t="shared" si="9"/>
        <v/>
      </c>
      <c r="AL124" s="4"/>
      <c r="AM124" s="4" t="str">
        <f t="shared" si="10"/>
        <v/>
      </c>
      <c r="AN124" s="4" t="str">
        <f>IFERROR(_xlfn.XLOOKUP(HEX2DEC(MID(AM124,LEN(AM124)-7,4)),mscod[MSCOD_BY_VAL],mscod[Description],""),"")</f>
        <v/>
      </c>
      <c r="AO124" s="4" t="str" cm="1">
        <f t="array" ref="AO124">_xlfn.XLOOKUP($K$1&amp;$Q$1&amp;"DPMB_SOCKET0__COMPUTE"&amp;AK124&amp;"__UNCORE__CHA__CHA"&amp;AL124&amp;"__UTIL__MC_ADDR"&amp;$B$1,cha_mc[VisualId]&amp;cha_mc[UnitTestingSeqKey]&amp;cha_mc[TestName],cha_mc[TestValue],"")</f>
        <v/>
      </c>
      <c r="AP124" s="4" t="str" cm="1">
        <f t="array" ref="AP124">_xlfn.XLOOKUP($K$1&amp;$Q$1&amp;"DPMB_SOCKET0__COMPUTE"&amp;AK124&amp;"__UNCORE__CHA__CHA"&amp;AL124&amp;"__UTIL__MC_MISC"&amp;$B$1,cha_mc[VisualId]&amp;cha_mc[UnitTestingSeqKey]&amp;cha_mc[TestName],cha_mc[TestValue],"")</f>
        <v/>
      </c>
      <c r="AQ124" s="30"/>
      <c r="AR124" s="30"/>
      <c r="AS124" s="30"/>
      <c r="AT124" s="30"/>
      <c r="AU124" s="30"/>
      <c r="AV124" s="4" t="str" cm="1">
        <f t="array" ref="AV124">_xlfn.XLOOKUP($K$1&amp;$Q$1&amp;"DPMB_SOCKET0__COMPUTE"&amp;AK124&amp;"__UNCORE__CHA__CHA"&amp;AL124&amp;"__UTIL__MC_MISC3"&amp;$B$1,cha_mc[VisualId]&amp;cha_mc[UnitTestingSeqKey]&amp;cha_mc[TestName],cha_mc[TestValue],"")</f>
        <v/>
      </c>
      <c r="AW124" s="30"/>
      <c r="AX124" s="30"/>
      <c r="AY124" s="30"/>
      <c r="AZ124" s="30"/>
      <c r="BA124" s="30"/>
    </row>
    <row r="125" spans="1:53" x14ac:dyDescent="0.3">
      <c r="A125" s="4" t="str">
        <f t="shared" si="11"/>
        <v>74X97M1000031</v>
      </c>
      <c r="B125" s="4" t="str">
        <f t="shared" si="7"/>
        <v>1-1</v>
      </c>
      <c r="C125" s="4">
        <v>2</v>
      </c>
      <c r="D125" s="4">
        <v>121</v>
      </c>
      <c r="E125" s="4" t="str" cm="1">
        <f t="array" ref="E125">_xlfn.XLOOKUP(A125&amp;B125&amp;$E$1&amp;"DPMB_SOCKET0__COMPUTE"&amp;C125&amp;"__CPU__CORE"&amp;Check!D125&amp;"__ML2_CR_MC3_STATUS"&amp;$B$1,core_mc[VisualId]&amp;core_mc[PPVRun_MC]&amp;core_mc[Lot]&amp;core_mc[TestNameWithoutNumeric],core_mc[TestValue],"")</f>
        <v/>
      </c>
      <c r="F125" s="4">
        <v>121</v>
      </c>
      <c r="G125" s="4" t="str" cm="1">
        <f t="array" ref="G125">_xlfn.XLOOKUP(A125&amp;B125&amp;$E$1&amp;"DPMB_SOCKET0__COMPUTE"&amp;C125&amp;"__UNCORE__CHA__CHA"&amp;Check!F125&amp;"__UTIL__MC_STATUS"&amp;$B$1,cha_mc[VisualId]&amp;cha_mc[PPVRun_MC]&amp;cha_mc[Lot]&amp;cha_mc[TestNameWithoutNumeric],cha_mc[TestValue],"")</f>
        <v/>
      </c>
      <c r="H125" s="4" t="str">
        <f t="shared" si="8"/>
        <v/>
      </c>
      <c r="AK125" s="4" t="str">
        <f t="shared" si="9"/>
        <v/>
      </c>
      <c r="AL125" s="4"/>
      <c r="AM125" s="4" t="str">
        <f t="shared" si="10"/>
        <v/>
      </c>
      <c r="AN125" s="4" t="str">
        <f>IFERROR(_xlfn.XLOOKUP(HEX2DEC(MID(AM125,LEN(AM125)-7,4)),mscod[MSCOD_BY_VAL],mscod[Description],""),"")</f>
        <v/>
      </c>
      <c r="AO125" s="4" t="str" cm="1">
        <f t="array" ref="AO125">_xlfn.XLOOKUP($K$1&amp;$Q$1&amp;"DPMB_SOCKET0__COMPUTE"&amp;AK125&amp;"__UNCORE__CHA__CHA"&amp;AL125&amp;"__UTIL__MC_ADDR"&amp;$B$1,cha_mc[VisualId]&amp;cha_mc[UnitTestingSeqKey]&amp;cha_mc[TestName],cha_mc[TestValue],"")</f>
        <v/>
      </c>
      <c r="AP125" s="4" t="str" cm="1">
        <f t="array" ref="AP125">_xlfn.XLOOKUP($K$1&amp;$Q$1&amp;"DPMB_SOCKET0__COMPUTE"&amp;AK125&amp;"__UNCORE__CHA__CHA"&amp;AL125&amp;"__UTIL__MC_MISC"&amp;$B$1,cha_mc[VisualId]&amp;cha_mc[UnitTestingSeqKey]&amp;cha_mc[TestName],cha_mc[TestValue],"")</f>
        <v/>
      </c>
      <c r="AQ125" s="30"/>
      <c r="AR125" s="30"/>
      <c r="AS125" s="30"/>
      <c r="AT125" s="30"/>
      <c r="AU125" s="30"/>
      <c r="AV125" s="4" t="str" cm="1">
        <f t="array" ref="AV125">_xlfn.XLOOKUP($K$1&amp;$Q$1&amp;"DPMB_SOCKET0__COMPUTE"&amp;AK125&amp;"__UNCORE__CHA__CHA"&amp;AL125&amp;"__UTIL__MC_MISC3"&amp;$B$1,cha_mc[VisualId]&amp;cha_mc[UnitTestingSeqKey]&amp;cha_mc[TestName],cha_mc[TestValue],"")</f>
        <v/>
      </c>
      <c r="AW125" s="30"/>
      <c r="AX125" s="30"/>
      <c r="AY125" s="30"/>
      <c r="AZ125" s="30"/>
      <c r="BA125" s="30"/>
    </row>
    <row r="126" spans="1:53" x14ac:dyDescent="0.3">
      <c r="A126" s="4" t="str">
        <f t="shared" si="11"/>
        <v>74X97M1000031</v>
      </c>
      <c r="B126" s="4" t="str">
        <f t="shared" si="7"/>
        <v>1-1</v>
      </c>
      <c r="C126" s="4">
        <v>2</v>
      </c>
      <c r="D126" s="4">
        <v>122</v>
      </c>
      <c r="E126" s="4" t="str" cm="1">
        <f t="array" ref="E126">_xlfn.XLOOKUP(A126&amp;B126&amp;$E$1&amp;"DPMB_SOCKET0__COMPUTE"&amp;C126&amp;"__CPU__CORE"&amp;Check!D126&amp;"__ML2_CR_MC3_STATUS"&amp;$B$1,core_mc[VisualId]&amp;core_mc[PPVRun_MC]&amp;core_mc[Lot]&amp;core_mc[TestNameWithoutNumeric],core_mc[TestValue],"")</f>
        <v/>
      </c>
      <c r="F126" s="4">
        <v>122</v>
      </c>
      <c r="G126" s="4" t="str" cm="1">
        <f t="array" ref="G126">_xlfn.XLOOKUP(A126&amp;B126&amp;$E$1&amp;"DPMB_SOCKET0__COMPUTE"&amp;C126&amp;"__UNCORE__CHA__CHA"&amp;Check!F126&amp;"__UTIL__MC_STATUS"&amp;$B$1,cha_mc[VisualId]&amp;cha_mc[PPVRun_MC]&amp;cha_mc[Lot]&amp;cha_mc[TestNameWithoutNumeric],cha_mc[TestValue],"")</f>
        <v/>
      </c>
      <c r="H126" s="4" t="str">
        <f t="shared" si="8"/>
        <v/>
      </c>
      <c r="AK126" s="4" t="str">
        <f t="shared" si="9"/>
        <v/>
      </c>
      <c r="AL126" s="4"/>
      <c r="AM126" s="4" t="str">
        <f t="shared" si="10"/>
        <v/>
      </c>
      <c r="AN126" s="4" t="str">
        <f>IFERROR(_xlfn.XLOOKUP(HEX2DEC(MID(AM126,LEN(AM126)-7,4)),mscod[MSCOD_BY_VAL],mscod[Description],""),"")</f>
        <v/>
      </c>
      <c r="AO126" s="4" t="str" cm="1">
        <f t="array" ref="AO126">_xlfn.XLOOKUP($K$1&amp;$Q$1&amp;"DPMB_SOCKET0__COMPUTE"&amp;AK126&amp;"__UNCORE__CHA__CHA"&amp;AL126&amp;"__UTIL__MC_ADDR"&amp;$B$1,cha_mc[VisualId]&amp;cha_mc[UnitTestingSeqKey]&amp;cha_mc[TestName],cha_mc[TestValue],"")</f>
        <v/>
      </c>
      <c r="AP126" s="4" t="str" cm="1">
        <f t="array" ref="AP126">_xlfn.XLOOKUP($K$1&amp;$Q$1&amp;"DPMB_SOCKET0__COMPUTE"&amp;AK126&amp;"__UNCORE__CHA__CHA"&amp;AL126&amp;"__UTIL__MC_MISC"&amp;$B$1,cha_mc[VisualId]&amp;cha_mc[UnitTestingSeqKey]&amp;cha_mc[TestName],cha_mc[TestValue],"")</f>
        <v/>
      </c>
      <c r="AQ126" s="30"/>
      <c r="AR126" s="30"/>
      <c r="AS126" s="30"/>
      <c r="AT126" s="30"/>
      <c r="AU126" s="30"/>
      <c r="AV126" s="4" t="str" cm="1">
        <f t="array" ref="AV126">_xlfn.XLOOKUP($K$1&amp;$Q$1&amp;"DPMB_SOCKET0__COMPUTE"&amp;AK126&amp;"__UNCORE__CHA__CHA"&amp;AL126&amp;"__UTIL__MC_MISC3"&amp;$B$1,cha_mc[VisualId]&amp;cha_mc[UnitTestingSeqKey]&amp;cha_mc[TestName],cha_mc[TestValue],"")</f>
        <v/>
      </c>
      <c r="AW126" s="30"/>
      <c r="AX126" s="30"/>
      <c r="AY126" s="30"/>
      <c r="AZ126" s="30"/>
      <c r="BA126" s="30"/>
    </row>
    <row r="127" spans="1:53" x14ac:dyDescent="0.3">
      <c r="A127" s="4" t="str">
        <f t="shared" si="11"/>
        <v>74X97M1000031</v>
      </c>
      <c r="B127" s="4" t="str">
        <f t="shared" si="7"/>
        <v>1-1</v>
      </c>
      <c r="C127" s="4">
        <v>2</v>
      </c>
      <c r="D127" s="4">
        <v>123</v>
      </c>
      <c r="E127" s="4" t="str" cm="1">
        <f t="array" ref="E127">_xlfn.XLOOKUP(A127&amp;B127&amp;$E$1&amp;"DPMB_SOCKET0__COMPUTE"&amp;C127&amp;"__CPU__CORE"&amp;Check!D127&amp;"__ML2_CR_MC3_STATUS"&amp;$B$1,core_mc[VisualId]&amp;core_mc[PPVRun_MC]&amp;core_mc[Lot]&amp;core_mc[TestNameWithoutNumeric],core_mc[TestValue],"")</f>
        <v/>
      </c>
      <c r="F127" s="4">
        <v>123</v>
      </c>
      <c r="G127" s="4" t="str" cm="1">
        <f t="array" ref="G127">_xlfn.XLOOKUP(A127&amp;B127&amp;$E$1&amp;"DPMB_SOCKET0__COMPUTE"&amp;C127&amp;"__UNCORE__CHA__CHA"&amp;Check!F127&amp;"__UTIL__MC_STATUS"&amp;$B$1,cha_mc[VisualId]&amp;cha_mc[PPVRun_MC]&amp;cha_mc[Lot]&amp;cha_mc[TestNameWithoutNumeric],cha_mc[TestValue],"")</f>
        <v/>
      </c>
      <c r="H127" s="4" t="str">
        <f t="shared" si="8"/>
        <v/>
      </c>
      <c r="AK127" s="4" t="str">
        <f t="shared" si="9"/>
        <v/>
      </c>
      <c r="AL127" s="4"/>
      <c r="AM127" s="4" t="str">
        <f t="shared" si="10"/>
        <v/>
      </c>
      <c r="AN127" s="4" t="str">
        <f>IFERROR(_xlfn.XLOOKUP(HEX2DEC(MID(AM127,LEN(AM127)-7,4)),mscod[MSCOD_BY_VAL],mscod[Description],""),"")</f>
        <v/>
      </c>
      <c r="AO127" s="4" t="str" cm="1">
        <f t="array" ref="AO127">_xlfn.XLOOKUP($K$1&amp;$Q$1&amp;"DPMB_SOCKET0__COMPUTE"&amp;AK127&amp;"__UNCORE__CHA__CHA"&amp;AL127&amp;"__UTIL__MC_ADDR"&amp;$B$1,cha_mc[VisualId]&amp;cha_mc[UnitTestingSeqKey]&amp;cha_mc[TestName],cha_mc[TestValue],"")</f>
        <v/>
      </c>
      <c r="AP127" s="4" t="str" cm="1">
        <f t="array" ref="AP127">_xlfn.XLOOKUP($K$1&amp;$Q$1&amp;"DPMB_SOCKET0__COMPUTE"&amp;AK127&amp;"__UNCORE__CHA__CHA"&amp;AL127&amp;"__UTIL__MC_MISC"&amp;$B$1,cha_mc[VisualId]&amp;cha_mc[UnitTestingSeqKey]&amp;cha_mc[TestName],cha_mc[TestValue],"")</f>
        <v/>
      </c>
      <c r="AQ127" s="30"/>
      <c r="AR127" s="30"/>
      <c r="AS127" s="30"/>
      <c r="AT127" s="30"/>
      <c r="AU127" s="30"/>
      <c r="AV127" s="4" t="str" cm="1">
        <f t="array" ref="AV127">_xlfn.XLOOKUP($K$1&amp;$Q$1&amp;"DPMB_SOCKET0__COMPUTE"&amp;AK127&amp;"__UNCORE__CHA__CHA"&amp;AL127&amp;"__UTIL__MC_MISC3"&amp;$B$1,cha_mc[VisualId]&amp;cha_mc[UnitTestingSeqKey]&amp;cha_mc[TestName],cha_mc[TestValue],"")</f>
        <v/>
      </c>
      <c r="AW127" s="30"/>
      <c r="AX127" s="30"/>
      <c r="AY127" s="30"/>
      <c r="AZ127" s="30"/>
      <c r="BA127" s="30"/>
    </row>
    <row r="128" spans="1:53" x14ac:dyDescent="0.3">
      <c r="A128" s="4" t="str">
        <f t="shared" si="11"/>
        <v>74X97M1000031</v>
      </c>
      <c r="B128" s="4" t="str">
        <f t="shared" si="7"/>
        <v>1-1</v>
      </c>
      <c r="C128" s="4">
        <v>2</v>
      </c>
      <c r="D128" s="4">
        <v>124</v>
      </c>
      <c r="E128" s="4" t="str" cm="1">
        <f t="array" ref="E128">_xlfn.XLOOKUP(A128&amp;B128&amp;$E$1&amp;"DPMB_SOCKET0__COMPUTE"&amp;C128&amp;"__CPU__CORE"&amp;Check!D128&amp;"__ML2_CR_MC3_STATUS"&amp;$B$1,core_mc[VisualId]&amp;core_mc[PPVRun_MC]&amp;core_mc[Lot]&amp;core_mc[TestNameWithoutNumeric],core_mc[TestValue],"")</f>
        <v/>
      </c>
      <c r="F128" s="4">
        <v>124</v>
      </c>
      <c r="G128" s="4" t="str" cm="1">
        <f t="array" ref="G128">_xlfn.XLOOKUP(A128&amp;B128&amp;$E$1&amp;"DPMB_SOCKET0__COMPUTE"&amp;C128&amp;"__UNCORE__CHA__CHA"&amp;Check!F128&amp;"__UTIL__MC_STATUS"&amp;$B$1,cha_mc[VisualId]&amp;cha_mc[PPVRun_MC]&amp;cha_mc[Lot]&amp;cha_mc[TestNameWithoutNumeric],cha_mc[TestValue],"")</f>
        <v/>
      </c>
      <c r="H128" s="4" t="str">
        <f t="shared" si="8"/>
        <v/>
      </c>
      <c r="AK128" s="4" t="str">
        <f t="shared" si="9"/>
        <v/>
      </c>
      <c r="AL128" s="4"/>
      <c r="AM128" s="4" t="str">
        <f t="shared" si="10"/>
        <v/>
      </c>
      <c r="AN128" s="4" t="str">
        <f>IFERROR(_xlfn.XLOOKUP(HEX2DEC(MID(AM128,LEN(AM128)-7,4)),mscod[MSCOD_BY_VAL],mscod[Description],""),"")</f>
        <v/>
      </c>
      <c r="AO128" s="4" t="str" cm="1">
        <f t="array" ref="AO128">_xlfn.XLOOKUP($K$1&amp;$Q$1&amp;"DPMB_SOCKET0__COMPUTE"&amp;AK128&amp;"__UNCORE__CHA__CHA"&amp;AL128&amp;"__UTIL__MC_ADDR"&amp;$B$1,cha_mc[VisualId]&amp;cha_mc[UnitTestingSeqKey]&amp;cha_mc[TestName],cha_mc[TestValue],"")</f>
        <v/>
      </c>
      <c r="AP128" s="4" t="str" cm="1">
        <f t="array" ref="AP128">_xlfn.XLOOKUP($K$1&amp;$Q$1&amp;"DPMB_SOCKET0__COMPUTE"&amp;AK128&amp;"__UNCORE__CHA__CHA"&amp;AL128&amp;"__UTIL__MC_MISC"&amp;$B$1,cha_mc[VisualId]&amp;cha_mc[UnitTestingSeqKey]&amp;cha_mc[TestName],cha_mc[TestValue],"")</f>
        <v/>
      </c>
      <c r="AQ128" s="30"/>
      <c r="AR128" s="30"/>
      <c r="AS128" s="30"/>
      <c r="AT128" s="30"/>
      <c r="AU128" s="30"/>
      <c r="AV128" s="4" t="str" cm="1">
        <f t="array" ref="AV128">_xlfn.XLOOKUP($K$1&amp;$Q$1&amp;"DPMB_SOCKET0__COMPUTE"&amp;AK128&amp;"__UNCORE__CHA__CHA"&amp;AL128&amp;"__UTIL__MC_MISC3"&amp;$B$1,cha_mc[VisualId]&amp;cha_mc[UnitTestingSeqKey]&amp;cha_mc[TestName],cha_mc[TestValue],"")</f>
        <v/>
      </c>
      <c r="AW128" s="30"/>
      <c r="AX128" s="30"/>
      <c r="AY128" s="30"/>
      <c r="AZ128" s="30"/>
      <c r="BA128" s="30"/>
    </row>
    <row r="129" spans="1:53" x14ac:dyDescent="0.3">
      <c r="A129" s="4" t="str">
        <f t="shared" si="11"/>
        <v>74X97M1000031</v>
      </c>
      <c r="B129" s="4" t="str">
        <f t="shared" si="7"/>
        <v>1-1</v>
      </c>
      <c r="C129" s="4">
        <v>2</v>
      </c>
      <c r="D129" s="4">
        <v>125</v>
      </c>
      <c r="E129" s="4" t="str" cm="1">
        <f t="array" ref="E129">_xlfn.XLOOKUP(A129&amp;B129&amp;$E$1&amp;"DPMB_SOCKET0__COMPUTE"&amp;C129&amp;"__CPU__CORE"&amp;Check!D129&amp;"__ML2_CR_MC3_STATUS"&amp;$B$1,core_mc[VisualId]&amp;core_mc[PPVRun_MC]&amp;core_mc[Lot]&amp;core_mc[TestNameWithoutNumeric],core_mc[TestValue],"")</f>
        <v/>
      </c>
      <c r="F129" s="4">
        <v>125</v>
      </c>
      <c r="G129" s="4" t="str" cm="1">
        <f t="array" ref="G129">_xlfn.XLOOKUP(A129&amp;B129&amp;$E$1&amp;"DPMB_SOCKET0__COMPUTE"&amp;C129&amp;"__UNCORE__CHA__CHA"&amp;Check!F129&amp;"__UTIL__MC_STATUS"&amp;$B$1,cha_mc[VisualId]&amp;cha_mc[PPVRun_MC]&amp;cha_mc[Lot]&amp;cha_mc[TestNameWithoutNumeric],cha_mc[TestValue],"")</f>
        <v/>
      </c>
      <c r="H129" s="4" t="str">
        <f t="shared" si="8"/>
        <v/>
      </c>
      <c r="AK129" s="4" t="str">
        <f t="shared" si="9"/>
        <v/>
      </c>
      <c r="AL129" s="4"/>
      <c r="AM129" s="4" t="str">
        <f t="shared" si="10"/>
        <v/>
      </c>
      <c r="AN129" s="4" t="str">
        <f>IFERROR(_xlfn.XLOOKUP(HEX2DEC(MID(AM129,LEN(AM129)-7,4)),mscod[MSCOD_BY_VAL],mscod[Description],""),"")</f>
        <v/>
      </c>
      <c r="AO129" s="4" t="str" cm="1">
        <f t="array" ref="AO129">_xlfn.XLOOKUP($K$1&amp;$Q$1&amp;"DPMB_SOCKET0__COMPUTE"&amp;AK129&amp;"__UNCORE__CHA__CHA"&amp;AL129&amp;"__UTIL__MC_ADDR"&amp;$B$1,cha_mc[VisualId]&amp;cha_mc[UnitTestingSeqKey]&amp;cha_mc[TestName],cha_mc[TestValue],"")</f>
        <v/>
      </c>
      <c r="AP129" s="4" t="str" cm="1">
        <f t="array" ref="AP129">_xlfn.XLOOKUP($K$1&amp;$Q$1&amp;"DPMB_SOCKET0__COMPUTE"&amp;AK129&amp;"__UNCORE__CHA__CHA"&amp;AL129&amp;"__UTIL__MC_MISC"&amp;$B$1,cha_mc[VisualId]&amp;cha_mc[UnitTestingSeqKey]&amp;cha_mc[TestName],cha_mc[TestValue],"")</f>
        <v/>
      </c>
      <c r="AQ129" s="30"/>
      <c r="AR129" s="30"/>
      <c r="AS129" s="30"/>
      <c r="AT129" s="30"/>
      <c r="AU129" s="30"/>
      <c r="AV129" s="4" t="str" cm="1">
        <f t="array" ref="AV129">_xlfn.XLOOKUP($K$1&amp;$Q$1&amp;"DPMB_SOCKET0__COMPUTE"&amp;AK129&amp;"__UNCORE__CHA__CHA"&amp;AL129&amp;"__UTIL__MC_MISC3"&amp;$B$1,cha_mc[VisualId]&amp;cha_mc[UnitTestingSeqKey]&amp;cha_mc[TestName],cha_mc[TestValue],"")</f>
        <v/>
      </c>
      <c r="AW129" s="30"/>
      <c r="AX129" s="30"/>
      <c r="AY129" s="30"/>
      <c r="AZ129" s="30"/>
      <c r="BA129" s="30"/>
    </row>
    <row r="130" spans="1:53" x14ac:dyDescent="0.3">
      <c r="A130" s="4" t="str">
        <f t="shared" si="11"/>
        <v>74X97M1000031</v>
      </c>
      <c r="B130" s="4" t="str">
        <f t="shared" si="7"/>
        <v>1-1</v>
      </c>
      <c r="C130" s="4">
        <v>2</v>
      </c>
      <c r="D130" s="4">
        <v>126</v>
      </c>
      <c r="E130" s="4" t="str" cm="1">
        <f t="array" ref="E130">_xlfn.XLOOKUP(A130&amp;B130&amp;$E$1&amp;"DPMB_SOCKET0__COMPUTE"&amp;C130&amp;"__CPU__CORE"&amp;Check!D130&amp;"__ML2_CR_MC3_STATUS"&amp;$B$1,core_mc[VisualId]&amp;core_mc[PPVRun_MC]&amp;core_mc[Lot]&amp;core_mc[TestNameWithoutNumeric],core_mc[TestValue],"")</f>
        <v/>
      </c>
      <c r="F130" s="4">
        <v>126</v>
      </c>
      <c r="G130" s="4" t="str" cm="1">
        <f t="array" ref="G130">_xlfn.XLOOKUP(A130&amp;B130&amp;$E$1&amp;"DPMB_SOCKET0__COMPUTE"&amp;C130&amp;"__UNCORE__CHA__CHA"&amp;Check!F130&amp;"__UTIL__MC_STATUS"&amp;$B$1,cha_mc[VisualId]&amp;cha_mc[PPVRun_MC]&amp;cha_mc[Lot]&amp;cha_mc[TestNameWithoutNumeric],cha_mc[TestValue],"")</f>
        <v/>
      </c>
      <c r="H130" s="4" t="str">
        <f t="shared" si="8"/>
        <v/>
      </c>
      <c r="AK130" s="4" t="str">
        <f t="shared" si="9"/>
        <v/>
      </c>
      <c r="AL130" s="4"/>
      <c r="AM130" s="4" t="str">
        <f t="shared" si="10"/>
        <v/>
      </c>
      <c r="AN130" s="4" t="str">
        <f>IFERROR(_xlfn.XLOOKUP(HEX2DEC(MID(AM130,LEN(AM130)-7,4)),mscod[MSCOD_BY_VAL],mscod[Description],""),"")</f>
        <v/>
      </c>
      <c r="AO130" s="4" t="str" cm="1">
        <f t="array" ref="AO130">_xlfn.XLOOKUP($K$1&amp;$Q$1&amp;"DPMB_SOCKET0__COMPUTE"&amp;AK130&amp;"__UNCORE__CHA__CHA"&amp;AL130&amp;"__UTIL__MC_ADDR"&amp;$B$1,cha_mc[VisualId]&amp;cha_mc[UnitTestingSeqKey]&amp;cha_mc[TestName],cha_mc[TestValue],"")</f>
        <v/>
      </c>
      <c r="AP130" s="4" t="str" cm="1">
        <f t="array" ref="AP130">_xlfn.XLOOKUP($K$1&amp;$Q$1&amp;"DPMB_SOCKET0__COMPUTE"&amp;AK130&amp;"__UNCORE__CHA__CHA"&amp;AL130&amp;"__UTIL__MC_MISC"&amp;$B$1,cha_mc[VisualId]&amp;cha_mc[UnitTestingSeqKey]&amp;cha_mc[TestName],cha_mc[TestValue],"")</f>
        <v/>
      </c>
      <c r="AQ130" s="30"/>
      <c r="AR130" s="30"/>
      <c r="AS130" s="30"/>
      <c r="AT130" s="30"/>
      <c r="AU130" s="30"/>
      <c r="AV130" s="4" t="str" cm="1">
        <f t="array" ref="AV130">_xlfn.XLOOKUP($K$1&amp;$Q$1&amp;"DPMB_SOCKET0__COMPUTE"&amp;AK130&amp;"__UNCORE__CHA__CHA"&amp;AL130&amp;"__UTIL__MC_MISC3"&amp;$B$1,cha_mc[VisualId]&amp;cha_mc[UnitTestingSeqKey]&amp;cha_mc[TestName],cha_mc[TestValue],"")</f>
        <v/>
      </c>
      <c r="AW130" s="30"/>
      <c r="AX130" s="30"/>
      <c r="AY130" s="30"/>
      <c r="AZ130" s="30"/>
      <c r="BA130" s="30"/>
    </row>
    <row r="131" spans="1:53" x14ac:dyDescent="0.3">
      <c r="A131" s="4" t="str">
        <f t="shared" si="11"/>
        <v>74X97M1000031</v>
      </c>
      <c r="B131" s="4" t="str">
        <f t="shared" si="7"/>
        <v>1-1</v>
      </c>
      <c r="C131" s="4">
        <v>2</v>
      </c>
      <c r="D131" s="4">
        <v>127</v>
      </c>
      <c r="E131" s="4" t="str" cm="1">
        <f t="array" ref="E131">_xlfn.XLOOKUP(A131&amp;B131&amp;$E$1&amp;"DPMB_SOCKET0__COMPUTE"&amp;C131&amp;"__CPU__CORE"&amp;Check!D131&amp;"__ML2_CR_MC3_STATUS"&amp;$B$1,core_mc[VisualId]&amp;core_mc[PPVRun_MC]&amp;core_mc[Lot]&amp;core_mc[TestNameWithoutNumeric],core_mc[TestValue],"")</f>
        <v/>
      </c>
      <c r="F131" s="4">
        <v>127</v>
      </c>
      <c r="G131" s="4" t="str" cm="1">
        <f t="array" ref="G131">_xlfn.XLOOKUP(A131&amp;B131&amp;$E$1&amp;"DPMB_SOCKET0__COMPUTE"&amp;C131&amp;"__UNCORE__CHA__CHA"&amp;Check!F131&amp;"__UTIL__MC_STATUS"&amp;$B$1,cha_mc[VisualId]&amp;cha_mc[PPVRun_MC]&amp;cha_mc[Lot]&amp;cha_mc[TestNameWithoutNumeric],cha_mc[TestValue],"")</f>
        <v/>
      </c>
      <c r="H131" s="4" t="str">
        <f t="shared" si="8"/>
        <v/>
      </c>
      <c r="AK131" s="4" t="str">
        <f t="shared" si="9"/>
        <v/>
      </c>
      <c r="AL131" s="4"/>
      <c r="AM131" s="4" t="str">
        <f t="shared" si="10"/>
        <v/>
      </c>
      <c r="AN131" s="4" t="str">
        <f>IFERROR(_xlfn.XLOOKUP(HEX2DEC(MID(AM131,LEN(AM131)-7,4)),mscod[MSCOD_BY_VAL],mscod[Description],""),"")</f>
        <v/>
      </c>
      <c r="AO131" s="4" t="str" cm="1">
        <f t="array" ref="AO131">_xlfn.XLOOKUP($K$1&amp;$Q$1&amp;"DPMB_SOCKET0__COMPUTE"&amp;AK131&amp;"__UNCORE__CHA__CHA"&amp;AL131&amp;"__UTIL__MC_ADDR"&amp;$B$1,cha_mc[VisualId]&amp;cha_mc[UnitTestingSeqKey]&amp;cha_mc[TestName],cha_mc[TestValue],"")</f>
        <v/>
      </c>
      <c r="AP131" s="4" t="str" cm="1">
        <f t="array" ref="AP131">_xlfn.XLOOKUP($K$1&amp;$Q$1&amp;"DPMB_SOCKET0__COMPUTE"&amp;AK131&amp;"__UNCORE__CHA__CHA"&amp;AL131&amp;"__UTIL__MC_MISC"&amp;$B$1,cha_mc[VisualId]&amp;cha_mc[UnitTestingSeqKey]&amp;cha_mc[TestName],cha_mc[TestValue],"")</f>
        <v/>
      </c>
      <c r="AQ131" s="30"/>
      <c r="AR131" s="30"/>
      <c r="AS131" s="30"/>
      <c r="AT131" s="30"/>
      <c r="AU131" s="30"/>
      <c r="AV131" s="4" t="str" cm="1">
        <f t="array" ref="AV131">_xlfn.XLOOKUP($K$1&amp;$Q$1&amp;"DPMB_SOCKET0__COMPUTE"&amp;AK131&amp;"__UNCORE__CHA__CHA"&amp;AL131&amp;"__UTIL__MC_MISC3"&amp;$B$1,cha_mc[VisualId]&amp;cha_mc[UnitTestingSeqKey]&amp;cha_mc[TestName],cha_mc[TestValue],"")</f>
        <v/>
      </c>
      <c r="AW131" s="30"/>
      <c r="AX131" s="30"/>
      <c r="AY131" s="30"/>
      <c r="AZ131" s="30"/>
      <c r="BA131" s="30"/>
    </row>
    <row r="132" spans="1:53" x14ac:dyDescent="0.3">
      <c r="A132" s="4" t="str">
        <f t="shared" ref="A132:A163" si="12">$K$1</f>
        <v>74X97M1000031</v>
      </c>
      <c r="B132" s="4" t="str">
        <f t="shared" si="7"/>
        <v>1-1</v>
      </c>
      <c r="C132" s="4">
        <v>2</v>
      </c>
      <c r="D132" s="4">
        <v>128</v>
      </c>
      <c r="E132" s="4" t="str" cm="1">
        <f t="array" ref="E132">_xlfn.XLOOKUP(A132&amp;B132&amp;$E$1&amp;"DPMB_SOCKET0__COMPUTE"&amp;C132&amp;"__CPU__CORE"&amp;Check!D132&amp;"__ML2_CR_MC3_STATUS"&amp;$B$1,core_mc[VisualId]&amp;core_mc[PPVRun_MC]&amp;core_mc[Lot]&amp;core_mc[TestNameWithoutNumeric],core_mc[TestValue],"")</f>
        <v/>
      </c>
      <c r="F132" s="4">
        <v>128</v>
      </c>
      <c r="G132" s="4" t="str" cm="1">
        <f t="array" ref="G132">_xlfn.XLOOKUP(A132&amp;B132&amp;$E$1&amp;"DPMB_SOCKET0__COMPUTE"&amp;C132&amp;"__UNCORE__CHA__CHA"&amp;Check!F132&amp;"__UTIL__MC_STATUS"&amp;$B$1,cha_mc[VisualId]&amp;cha_mc[PPVRun_MC]&amp;cha_mc[Lot]&amp;cha_mc[TestNameWithoutNumeric],cha_mc[TestValue],"")</f>
        <v/>
      </c>
      <c r="H132" s="4" t="str">
        <f t="shared" si="8"/>
        <v/>
      </c>
      <c r="AK132" s="4" t="str">
        <f t="shared" si="9"/>
        <v/>
      </c>
      <c r="AL132" s="4"/>
      <c r="AM132" s="4" t="str">
        <f t="shared" si="10"/>
        <v/>
      </c>
      <c r="AN132" s="4" t="str">
        <f>IFERROR(_xlfn.XLOOKUP(HEX2DEC(MID(AM132,LEN(AM132)-7,4)),mscod[MSCOD_BY_VAL],mscod[Description],""),"")</f>
        <v/>
      </c>
      <c r="AO132" s="4" t="str" cm="1">
        <f t="array" ref="AO132">_xlfn.XLOOKUP($K$1&amp;$Q$1&amp;"DPMB_SOCKET0__COMPUTE"&amp;AK132&amp;"__UNCORE__CHA__CHA"&amp;AL132&amp;"__UTIL__MC_ADDR"&amp;$B$1,cha_mc[VisualId]&amp;cha_mc[UnitTestingSeqKey]&amp;cha_mc[TestName],cha_mc[TestValue],"")</f>
        <v/>
      </c>
      <c r="AP132" s="4" t="str" cm="1">
        <f t="array" ref="AP132">_xlfn.XLOOKUP($K$1&amp;$Q$1&amp;"DPMB_SOCKET0__COMPUTE"&amp;AK132&amp;"__UNCORE__CHA__CHA"&amp;AL132&amp;"__UTIL__MC_MISC"&amp;$B$1,cha_mc[VisualId]&amp;cha_mc[UnitTestingSeqKey]&amp;cha_mc[TestName],cha_mc[TestValue],"")</f>
        <v/>
      </c>
      <c r="AQ132" s="30"/>
      <c r="AR132" s="30"/>
      <c r="AS132" s="30"/>
      <c r="AT132" s="30"/>
      <c r="AU132" s="30"/>
      <c r="AV132" s="4" t="str" cm="1">
        <f t="array" ref="AV132">_xlfn.XLOOKUP($K$1&amp;$Q$1&amp;"DPMB_SOCKET0__COMPUTE"&amp;AK132&amp;"__UNCORE__CHA__CHA"&amp;AL132&amp;"__UTIL__MC_MISC3"&amp;$B$1,cha_mc[VisualId]&amp;cha_mc[UnitTestingSeqKey]&amp;cha_mc[TestName],cha_mc[TestValue],"")</f>
        <v/>
      </c>
      <c r="AW132" s="30"/>
      <c r="AX132" s="30"/>
      <c r="AY132" s="30"/>
      <c r="AZ132" s="30"/>
      <c r="BA132" s="30"/>
    </row>
    <row r="133" spans="1:53" x14ac:dyDescent="0.3">
      <c r="A133" s="4" t="str">
        <f t="shared" si="12"/>
        <v>74X97M1000031</v>
      </c>
      <c r="B133" s="4" t="str">
        <f t="shared" ref="B133:B183" si="13">$T$1&amp;"-"&amp;$Q$1</f>
        <v>1-1</v>
      </c>
      <c r="C133" s="4">
        <v>2</v>
      </c>
      <c r="D133" s="4">
        <v>129</v>
      </c>
      <c r="E133" s="4" t="str" cm="1">
        <f t="array" ref="E133">_xlfn.XLOOKUP(A133&amp;B133&amp;$E$1&amp;"DPMB_SOCKET0__COMPUTE"&amp;C133&amp;"__CPU__CORE"&amp;Check!D133&amp;"__ML2_CR_MC3_STATUS"&amp;$B$1,core_mc[VisualId]&amp;core_mc[PPVRun_MC]&amp;core_mc[Lot]&amp;core_mc[TestNameWithoutNumeric],core_mc[TestValue],"")</f>
        <v/>
      </c>
      <c r="F133" s="4">
        <v>129</v>
      </c>
      <c r="G133" s="4" t="str" cm="1">
        <f t="array" ref="G133">_xlfn.XLOOKUP(A133&amp;B133&amp;$E$1&amp;"DPMB_SOCKET0__COMPUTE"&amp;C133&amp;"__UNCORE__CHA__CHA"&amp;Check!F133&amp;"__UTIL__MC_STATUS"&amp;$B$1,cha_mc[VisualId]&amp;cha_mc[PPVRun_MC]&amp;cha_mc[Lot]&amp;cha_mc[TestNameWithoutNumeric],cha_mc[TestValue],"")</f>
        <v/>
      </c>
      <c r="H133" s="4" t="str">
        <f t="shared" ref="H133:H183" si="14">IF(G133="0X20000000000000","",G133)</f>
        <v/>
      </c>
      <c r="AK133" s="4" t="str">
        <f t="shared" ref="AK133:AK184" si="15">_xlfn.XLOOKUP(AL133,$F$4:$F$183,$C$4:$C$183,"")</f>
        <v/>
      </c>
      <c r="AL133" s="4"/>
      <c r="AM133" s="4" t="str">
        <f t="shared" ref="AM133:AM184" si="16">REPLACE(_xlfn.XLOOKUP(AL133,$F$4:$F$183,$G$4:$G$183,""),1,2,"")</f>
        <v/>
      </c>
      <c r="AN133" s="4" t="str">
        <f>IFERROR(_xlfn.XLOOKUP(HEX2DEC(MID(AM133,LEN(AM133)-7,4)),mscod[MSCOD_BY_VAL],mscod[Description],""),"")</f>
        <v/>
      </c>
      <c r="AO133" s="4" t="str" cm="1">
        <f t="array" ref="AO133">_xlfn.XLOOKUP($K$1&amp;$Q$1&amp;"DPMB_SOCKET0__COMPUTE"&amp;AK133&amp;"__UNCORE__CHA__CHA"&amp;AL133&amp;"__UTIL__MC_ADDR"&amp;$B$1,cha_mc[VisualId]&amp;cha_mc[UnitTestingSeqKey]&amp;cha_mc[TestName],cha_mc[TestValue],"")</f>
        <v/>
      </c>
      <c r="AP133" s="4" t="str" cm="1">
        <f t="array" ref="AP133">_xlfn.XLOOKUP($K$1&amp;$Q$1&amp;"DPMB_SOCKET0__COMPUTE"&amp;AK133&amp;"__UNCORE__CHA__CHA"&amp;AL133&amp;"__UTIL__MC_MISC"&amp;$B$1,cha_mc[VisualId]&amp;cha_mc[UnitTestingSeqKey]&amp;cha_mc[TestName],cha_mc[TestValue],"")</f>
        <v/>
      </c>
      <c r="AQ133" s="30"/>
      <c r="AR133" s="30"/>
      <c r="AS133" s="30"/>
      <c r="AT133" s="30"/>
      <c r="AU133" s="30"/>
      <c r="AV133" s="4" t="str" cm="1">
        <f t="array" ref="AV133">_xlfn.XLOOKUP($K$1&amp;$Q$1&amp;"DPMB_SOCKET0__COMPUTE"&amp;AK133&amp;"__UNCORE__CHA__CHA"&amp;AL133&amp;"__UTIL__MC_MISC3"&amp;$B$1,cha_mc[VisualId]&amp;cha_mc[UnitTestingSeqKey]&amp;cha_mc[TestName],cha_mc[TestValue],"")</f>
        <v/>
      </c>
      <c r="AW133" s="30"/>
      <c r="AX133" s="30"/>
      <c r="AY133" s="30"/>
      <c r="AZ133" s="30"/>
      <c r="BA133" s="30"/>
    </row>
    <row r="134" spans="1:53" x14ac:dyDescent="0.3">
      <c r="A134" s="4" t="str">
        <f t="shared" si="12"/>
        <v>74X97M1000031</v>
      </c>
      <c r="B134" s="4" t="str">
        <f t="shared" si="13"/>
        <v>1-1</v>
      </c>
      <c r="C134" s="4">
        <v>2</v>
      </c>
      <c r="D134" s="4">
        <v>130</v>
      </c>
      <c r="E134" s="4" t="str" cm="1">
        <f t="array" ref="E134">_xlfn.XLOOKUP(A134&amp;B134&amp;$E$1&amp;"DPMB_SOCKET0__COMPUTE"&amp;C134&amp;"__CPU__CORE"&amp;Check!D134&amp;"__ML2_CR_MC3_STATUS"&amp;$B$1,core_mc[VisualId]&amp;core_mc[PPVRun_MC]&amp;core_mc[Lot]&amp;core_mc[TestNameWithoutNumeric],core_mc[TestValue],"")</f>
        <v/>
      </c>
      <c r="F134" s="4">
        <v>130</v>
      </c>
      <c r="G134" s="4" t="str" cm="1">
        <f t="array" ref="G134">_xlfn.XLOOKUP(A134&amp;B134&amp;$E$1&amp;"DPMB_SOCKET0__COMPUTE"&amp;C134&amp;"__UNCORE__CHA__CHA"&amp;Check!F134&amp;"__UTIL__MC_STATUS"&amp;$B$1,cha_mc[VisualId]&amp;cha_mc[PPVRun_MC]&amp;cha_mc[Lot]&amp;cha_mc[TestNameWithoutNumeric],cha_mc[TestValue],"")</f>
        <v/>
      </c>
      <c r="H134" s="4" t="str">
        <f t="shared" si="14"/>
        <v/>
      </c>
      <c r="AK134" s="4" t="str">
        <f t="shared" si="15"/>
        <v/>
      </c>
      <c r="AL134" s="4"/>
      <c r="AM134" s="4" t="str">
        <f t="shared" si="16"/>
        <v/>
      </c>
      <c r="AN134" s="4" t="str">
        <f>IFERROR(_xlfn.XLOOKUP(HEX2DEC(MID(AM134,LEN(AM134)-7,4)),mscod[MSCOD_BY_VAL],mscod[Description],""),"")</f>
        <v/>
      </c>
      <c r="AO134" s="4" t="str" cm="1">
        <f t="array" ref="AO134">_xlfn.XLOOKUP($K$1&amp;$Q$1&amp;"DPMB_SOCKET0__COMPUTE"&amp;AK134&amp;"__UNCORE__CHA__CHA"&amp;AL134&amp;"__UTIL__MC_ADDR"&amp;$B$1,cha_mc[VisualId]&amp;cha_mc[UnitTestingSeqKey]&amp;cha_mc[TestName],cha_mc[TestValue],"")</f>
        <v/>
      </c>
      <c r="AP134" s="4" t="str" cm="1">
        <f t="array" ref="AP134">_xlfn.XLOOKUP($K$1&amp;$Q$1&amp;"DPMB_SOCKET0__COMPUTE"&amp;AK134&amp;"__UNCORE__CHA__CHA"&amp;AL134&amp;"__UTIL__MC_MISC"&amp;$B$1,cha_mc[VisualId]&amp;cha_mc[UnitTestingSeqKey]&amp;cha_mc[TestName],cha_mc[TestValue],"")</f>
        <v/>
      </c>
      <c r="AQ134" s="30"/>
      <c r="AR134" s="30"/>
      <c r="AS134" s="30"/>
      <c r="AT134" s="30"/>
      <c r="AU134" s="30"/>
      <c r="AV134" s="4" t="str" cm="1">
        <f t="array" ref="AV134">_xlfn.XLOOKUP($K$1&amp;$Q$1&amp;"DPMB_SOCKET0__COMPUTE"&amp;AK134&amp;"__UNCORE__CHA__CHA"&amp;AL134&amp;"__UTIL__MC_MISC3"&amp;$B$1,cha_mc[VisualId]&amp;cha_mc[UnitTestingSeqKey]&amp;cha_mc[TestName],cha_mc[TestValue],"")</f>
        <v/>
      </c>
      <c r="AW134" s="30"/>
      <c r="AX134" s="30"/>
      <c r="AY134" s="30"/>
      <c r="AZ134" s="30"/>
      <c r="BA134" s="30"/>
    </row>
    <row r="135" spans="1:53" x14ac:dyDescent="0.3">
      <c r="A135" s="4" t="str">
        <f t="shared" si="12"/>
        <v>74X97M1000031</v>
      </c>
      <c r="B135" s="4" t="str">
        <f t="shared" si="13"/>
        <v>1-1</v>
      </c>
      <c r="C135" s="4">
        <v>2</v>
      </c>
      <c r="D135" s="4">
        <v>131</v>
      </c>
      <c r="E135" s="4" t="str" cm="1">
        <f t="array" ref="E135">_xlfn.XLOOKUP(A135&amp;B135&amp;$E$1&amp;"DPMB_SOCKET0__COMPUTE"&amp;C135&amp;"__CPU__CORE"&amp;Check!D135&amp;"__ML2_CR_MC3_STATUS"&amp;$B$1,core_mc[VisualId]&amp;core_mc[PPVRun_MC]&amp;core_mc[Lot]&amp;core_mc[TestNameWithoutNumeric],core_mc[TestValue],"")</f>
        <v/>
      </c>
      <c r="F135" s="4">
        <v>131</v>
      </c>
      <c r="G135" s="4" t="str" cm="1">
        <f t="array" ref="G135">_xlfn.XLOOKUP(A135&amp;B135&amp;$E$1&amp;"DPMB_SOCKET0__COMPUTE"&amp;C135&amp;"__UNCORE__CHA__CHA"&amp;Check!F135&amp;"__UTIL__MC_STATUS"&amp;$B$1,cha_mc[VisualId]&amp;cha_mc[PPVRun_MC]&amp;cha_mc[Lot]&amp;cha_mc[TestNameWithoutNumeric],cha_mc[TestValue],"")</f>
        <v/>
      </c>
      <c r="H135" s="4" t="str">
        <f t="shared" si="14"/>
        <v/>
      </c>
      <c r="AK135" s="4" t="str">
        <f t="shared" si="15"/>
        <v/>
      </c>
      <c r="AL135" s="4"/>
      <c r="AM135" s="4" t="str">
        <f t="shared" si="16"/>
        <v/>
      </c>
      <c r="AN135" s="4" t="str">
        <f>IFERROR(_xlfn.XLOOKUP(HEX2DEC(MID(AM135,LEN(AM135)-7,4)),mscod[MSCOD_BY_VAL],mscod[Description],""),"")</f>
        <v/>
      </c>
      <c r="AO135" s="4" t="str" cm="1">
        <f t="array" ref="AO135">_xlfn.XLOOKUP($K$1&amp;$Q$1&amp;"DPMB_SOCKET0__COMPUTE"&amp;AK135&amp;"__UNCORE__CHA__CHA"&amp;AL135&amp;"__UTIL__MC_ADDR"&amp;$B$1,cha_mc[VisualId]&amp;cha_mc[UnitTestingSeqKey]&amp;cha_mc[TestName],cha_mc[TestValue],"")</f>
        <v/>
      </c>
      <c r="AP135" s="4" t="str" cm="1">
        <f t="array" ref="AP135">_xlfn.XLOOKUP($K$1&amp;$Q$1&amp;"DPMB_SOCKET0__COMPUTE"&amp;AK135&amp;"__UNCORE__CHA__CHA"&amp;AL135&amp;"__UTIL__MC_MISC"&amp;$B$1,cha_mc[VisualId]&amp;cha_mc[UnitTestingSeqKey]&amp;cha_mc[TestName],cha_mc[TestValue],"")</f>
        <v/>
      </c>
      <c r="AQ135" s="30"/>
      <c r="AR135" s="30"/>
      <c r="AS135" s="30"/>
      <c r="AT135" s="30"/>
      <c r="AU135" s="30"/>
      <c r="AV135" s="4" t="str" cm="1">
        <f t="array" ref="AV135">_xlfn.XLOOKUP($K$1&amp;$Q$1&amp;"DPMB_SOCKET0__COMPUTE"&amp;AK135&amp;"__UNCORE__CHA__CHA"&amp;AL135&amp;"__UTIL__MC_MISC3"&amp;$B$1,cha_mc[VisualId]&amp;cha_mc[UnitTestingSeqKey]&amp;cha_mc[TestName],cha_mc[TestValue],"")</f>
        <v/>
      </c>
      <c r="AW135" s="30"/>
      <c r="AX135" s="30"/>
      <c r="AY135" s="30"/>
      <c r="AZ135" s="30"/>
      <c r="BA135" s="30"/>
    </row>
    <row r="136" spans="1:53" x14ac:dyDescent="0.3">
      <c r="A136" s="4" t="str">
        <f t="shared" si="12"/>
        <v>74X97M1000031</v>
      </c>
      <c r="B136" s="4" t="str">
        <f t="shared" si="13"/>
        <v>1-1</v>
      </c>
      <c r="C136" s="4">
        <v>2</v>
      </c>
      <c r="D136" s="4">
        <v>132</v>
      </c>
      <c r="E136" s="4" t="str" cm="1">
        <f t="array" ref="E136">_xlfn.XLOOKUP(A136&amp;B136&amp;$E$1&amp;"DPMB_SOCKET0__COMPUTE"&amp;C136&amp;"__CPU__CORE"&amp;Check!D136&amp;"__ML2_CR_MC3_STATUS"&amp;$B$1,core_mc[VisualId]&amp;core_mc[PPVRun_MC]&amp;core_mc[Lot]&amp;core_mc[TestNameWithoutNumeric],core_mc[TestValue],"")</f>
        <v/>
      </c>
      <c r="F136" s="4">
        <v>132</v>
      </c>
      <c r="G136" s="4" t="str" cm="1">
        <f t="array" ref="G136">_xlfn.XLOOKUP(A136&amp;B136&amp;$E$1&amp;"DPMB_SOCKET0__COMPUTE"&amp;C136&amp;"__UNCORE__CHA__CHA"&amp;Check!F136&amp;"__UTIL__MC_STATUS"&amp;$B$1,cha_mc[VisualId]&amp;cha_mc[PPVRun_MC]&amp;cha_mc[Lot]&amp;cha_mc[TestNameWithoutNumeric],cha_mc[TestValue],"")</f>
        <v/>
      </c>
      <c r="H136" s="4" t="str">
        <f t="shared" si="14"/>
        <v/>
      </c>
      <c r="AK136" s="4" t="str">
        <f t="shared" si="15"/>
        <v/>
      </c>
      <c r="AL136" s="4"/>
      <c r="AM136" s="4" t="str">
        <f t="shared" si="16"/>
        <v/>
      </c>
      <c r="AN136" s="4" t="str">
        <f>IFERROR(_xlfn.XLOOKUP(HEX2DEC(MID(AM136,LEN(AM136)-7,4)),mscod[MSCOD_BY_VAL],mscod[Description],""),"")</f>
        <v/>
      </c>
      <c r="AO136" s="4" t="str" cm="1">
        <f t="array" ref="AO136">_xlfn.XLOOKUP($K$1&amp;$Q$1&amp;"DPMB_SOCKET0__COMPUTE"&amp;AK136&amp;"__UNCORE__CHA__CHA"&amp;AL136&amp;"__UTIL__MC_ADDR"&amp;$B$1,cha_mc[VisualId]&amp;cha_mc[UnitTestingSeqKey]&amp;cha_mc[TestName],cha_mc[TestValue],"")</f>
        <v/>
      </c>
      <c r="AP136" s="4" t="str" cm="1">
        <f t="array" ref="AP136">_xlfn.XLOOKUP($K$1&amp;$Q$1&amp;"DPMB_SOCKET0__COMPUTE"&amp;AK136&amp;"__UNCORE__CHA__CHA"&amp;AL136&amp;"__UTIL__MC_MISC"&amp;$B$1,cha_mc[VisualId]&amp;cha_mc[UnitTestingSeqKey]&amp;cha_mc[TestName],cha_mc[TestValue],"")</f>
        <v/>
      </c>
      <c r="AQ136" s="30"/>
      <c r="AR136" s="30"/>
      <c r="AS136" s="30"/>
      <c r="AT136" s="30"/>
      <c r="AU136" s="30"/>
      <c r="AV136" s="4" t="str" cm="1">
        <f t="array" ref="AV136">_xlfn.XLOOKUP($K$1&amp;$Q$1&amp;"DPMB_SOCKET0__COMPUTE"&amp;AK136&amp;"__UNCORE__CHA__CHA"&amp;AL136&amp;"__UTIL__MC_MISC3"&amp;$B$1,cha_mc[VisualId]&amp;cha_mc[UnitTestingSeqKey]&amp;cha_mc[TestName],cha_mc[TestValue],"")</f>
        <v/>
      </c>
      <c r="AW136" s="30"/>
      <c r="AX136" s="30"/>
      <c r="AY136" s="30"/>
      <c r="AZ136" s="30"/>
      <c r="BA136" s="30"/>
    </row>
    <row r="137" spans="1:53" x14ac:dyDescent="0.3">
      <c r="A137" s="4" t="str">
        <f t="shared" si="12"/>
        <v>74X97M1000031</v>
      </c>
      <c r="B137" s="4" t="str">
        <f t="shared" si="13"/>
        <v>1-1</v>
      </c>
      <c r="C137" s="4">
        <v>2</v>
      </c>
      <c r="D137" s="4">
        <v>133</v>
      </c>
      <c r="E137" s="4" t="str" cm="1">
        <f t="array" ref="E137">_xlfn.XLOOKUP(A137&amp;B137&amp;$E$1&amp;"DPMB_SOCKET0__COMPUTE"&amp;C137&amp;"__CPU__CORE"&amp;Check!D137&amp;"__ML2_CR_MC3_STATUS"&amp;$B$1,core_mc[VisualId]&amp;core_mc[PPVRun_MC]&amp;core_mc[Lot]&amp;core_mc[TestNameWithoutNumeric],core_mc[TestValue],"")</f>
        <v/>
      </c>
      <c r="F137" s="4">
        <v>133</v>
      </c>
      <c r="G137" s="4" t="str" cm="1">
        <f t="array" ref="G137">_xlfn.XLOOKUP(A137&amp;B137&amp;$E$1&amp;"DPMB_SOCKET0__COMPUTE"&amp;C137&amp;"__UNCORE__CHA__CHA"&amp;Check!F137&amp;"__UTIL__MC_STATUS"&amp;$B$1,cha_mc[VisualId]&amp;cha_mc[PPVRun_MC]&amp;cha_mc[Lot]&amp;cha_mc[TestNameWithoutNumeric],cha_mc[TestValue],"")</f>
        <v/>
      </c>
      <c r="H137" s="4" t="str">
        <f t="shared" si="14"/>
        <v/>
      </c>
      <c r="AK137" s="4" t="str">
        <f t="shared" si="15"/>
        <v/>
      </c>
      <c r="AL137" s="4"/>
      <c r="AM137" s="4" t="str">
        <f t="shared" si="16"/>
        <v/>
      </c>
      <c r="AN137" s="4" t="str">
        <f>IFERROR(_xlfn.XLOOKUP(HEX2DEC(MID(AM137,LEN(AM137)-7,4)),mscod[MSCOD_BY_VAL],mscod[Description],""),"")</f>
        <v/>
      </c>
      <c r="AO137" s="4" t="str" cm="1">
        <f t="array" ref="AO137">_xlfn.XLOOKUP($K$1&amp;$Q$1&amp;"DPMB_SOCKET0__COMPUTE"&amp;AK137&amp;"__UNCORE__CHA__CHA"&amp;AL137&amp;"__UTIL__MC_ADDR"&amp;$B$1,cha_mc[VisualId]&amp;cha_mc[UnitTestingSeqKey]&amp;cha_mc[TestName],cha_mc[TestValue],"")</f>
        <v/>
      </c>
      <c r="AP137" s="4" t="str" cm="1">
        <f t="array" ref="AP137">_xlfn.XLOOKUP($K$1&amp;$Q$1&amp;"DPMB_SOCKET0__COMPUTE"&amp;AK137&amp;"__UNCORE__CHA__CHA"&amp;AL137&amp;"__UTIL__MC_MISC"&amp;$B$1,cha_mc[VisualId]&amp;cha_mc[UnitTestingSeqKey]&amp;cha_mc[TestName],cha_mc[TestValue],"")</f>
        <v/>
      </c>
      <c r="AQ137" s="30"/>
      <c r="AR137" s="30"/>
      <c r="AS137" s="30"/>
      <c r="AT137" s="30"/>
      <c r="AU137" s="30"/>
      <c r="AV137" s="4" t="str" cm="1">
        <f t="array" ref="AV137">_xlfn.XLOOKUP($K$1&amp;$Q$1&amp;"DPMB_SOCKET0__COMPUTE"&amp;AK137&amp;"__UNCORE__CHA__CHA"&amp;AL137&amp;"__UTIL__MC_MISC3"&amp;$B$1,cha_mc[VisualId]&amp;cha_mc[UnitTestingSeqKey]&amp;cha_mc[TestName],cha_mc[TestValue],"")</f>
        <v/>
      </c>
      <c r="AW137" s="30"/>
      <c r="AX137" s="30"/>
      <c r="AY137" s="30"/>
      <c r="AZ137" s="30"/>
      <c r="BA137" s="30"/>
    </row>
    <row r="138" spans="1:53" x14ac:dyDescent="0.3">
      <c r="A138" s="4" t="str">
        <f t="shared" si="12"/>
        <v>74X97M1000031</v>
      </c>
      <c r="B138" s="4" t="str">
        <f t="shared" si="13"/>
        <v>1-1</v>
      </c>
      <c r="C138" s="4">
        <v>2</v>
      </c>
      <c r="D138" s="4">
        <v>134</v>
      </c>
      <c r="E138" s="4" t="str" cm="1">
        <f t="array" ref="E138">_xlfn.XLOOKUP(A138&amp;B138&amp;$E$1&amp;"DPMB_SOCKET0__COMPUTE"&amp;C138&amp;"__CPU__CORE"&amp;Check!D138&amp;"__ML2_CR_MC3_STATUS"&amp;$B$1,core_mc[VisualId]&amp;core_mc[PPVRun_MC]&amp;core_mc[Lot]&amp;core_mc[TestNameWithoutNumeric],core_mc[TestValue],"")</f>
        <v/>
      </c>
      <c r="F138" s="4">
        <v>134</v>
      </c>
      <c r="G138" s="4" t="str" cm="1">
        <f t="array" ref="G138">_xlfn.XLOOKUP(A138&amp;B138&amp;$E$1&amp;"DPMB_SOCKET0__COMPUTE"&amp;C138&amp;"__UNCORE__CHA__CHA"&amp;Check!F138&amp;"__UTIL__MC_STATUS"&amp;$B$1,cha_mc[VisualId]&amp;cha_mc[PPVRun_MC]&amp;cha_mc[Lot]&amp;cha_mc[TestNameWithoutNumeric],cha_mc[TestValue],"")</f>
        <v/>
      </c>
      <c r="H138" s="4" t="str">
        <f t="shared" si="14"/>
        <v/>
      </c>
      <c r="AK138" s="4" t="str">
        <f t="shared" si="15"/>
        <v/>
      </c>
      <c r="AL138" s="4"/>
      <c r="AM138" s="4" t="str">
        <f t="shared" si="16"/>
        <v/>
      </c>
      <c r="AN138" s="4" t="str">
        <f>IFERROR(_xlfn.XLOOKUP(HEX2DEC(MID(AM138,LEN(AM138)-7,4)),mscod[MSCOD_BY_VAL],mscod[Description],""),"")</f>
        <v/>
      </c>
      <c r="AO138" s="4" t="str" cm="1">
        <f t="array" ref="AO138">_xlfn.XLOOKUP($K$1&amp;$Q$1&amp;"DPMB_SOCKET0__COMPUTE"&amp;AK138&amp;"__UNCORE__CHA__CHA"&amp;AL138&amp;"__UTIL__MC_ADDR"&amp;$B$1,cha_mc[VisualId]&amp;cha_mc[UnitTestingSeqKey]&amp;cha_mc[TestName],cha_mc[TestValue],"")</f>
        <v/>
      </c>
      <c r="AP138" s="4" t="str" cm="1">
        <f t="array" ref="AP138">_xlfn.XLOOKUP($K$1&amp;$Q$1&amp;"DPMB_SOCKET0__COMPUTE"&amp;AK138&amp;"__UNCORE__CHA__CHA"&amp;AL138&amp;"__UTIL__MC_MISC"&amp;$B$1,cha_mc[VisualId]&amp;cha_mc[UnitTestingSeqKey]&amp;cha_mc[TestName],cha_mc[TestValue],"")</f>
        <v/>
      </c>
      <c r="AQ138" s="30"/>
      <c r="AR138" s="30"/>
      <c r="AS138" s="30"/>
      <c r="AT138" s="30"/>
      <c r="AU138" s="30"/>
      <c r="AV138" s="4" t="str" cm="1">
        <f t="array" ref="AV138">_xlfn.XLOOKUP($K$1&amp;$Q$1&amp;"DPMB_SOCKET0__COMPUTE"&amp;AK138&amp;"__UNCORE__CHA__CHA"&amp;AL138&amp;"__UTIL__MC_MISC3"&amp;$B$1,cha_mc[VisualId]&amp;cha_mc[UnitTestingSeqKey]&amp;cha_mc[TestName],cha_mc[TestValue],"")</f>
        <v/>
      </c>
      <c r="AW138" s="30"/>
      <c r="AX138" s="30"/>
      <c r="AY138" s="30"/>
      <c r="AZ138" s="30"/>
      <c r="BA138" s="30"/>
    </row>
    <row r="139" spans="1:53" x14ac:dyDescent="0.3">
      <c r="A139" s="4" t="str">
        <f t="shared" si="12"/>
        <v>74X97M1000031</v>
      </c>
      <c r="B139" s="4" t="str">
        <f t="shared" si="13"/>
        <v>1-1</v>
      </c>
      <c r="C139" s="4">
        <v>2</v>
      </c>
      <c r="D139" s="4">
        <v>135</v>
      </c>
      <c r="E139" s="4" t="str" cm="1">
        <f t="array" ref="E139">_xlfn.XLOOKUP(A139&amp;B139&amp;$E$1&amp;"DPMB_SOCKET0__COMPUTE"&amp;C139&amp;"__CPU__CORE"&amp;Check!D139&amp;"__ML2_CR_MC3_STATUS"&amp;$B$1,core_mc[VisualId]&amp;core_mc[PPVRun_MC]&amp;core_mc[Lot]&amp;core_mc[TestNameWithoutNumeric],core_mc[TestValue],"")</f>
        <v/>
      </c>
      <c r="F139" s="4">
        <v>135</v>
      </c>
      <c r="G139" s="4" t="str" cm="1">
        <f t="array" ref="G139">_xlfn.XLOOKUP(A139&amp;B139&amp;$E$1&amp;"DPMB_SOCKET0__COMPUTE"&amp;C139&amp;"__UNCORE__CHA__CHA"&amp;Check!F139&amp;"__UTIL__MC_STATUS"&amp;$B$1,cha_mc[VisualId]&amp;cha_mc[PPVRun_MC]&amp;cha_mc[Lot]&amp;cha_mc[TestNameWithoutNumeric],cha_mc[TestValue],"")</f>
        <v/>
      </c>
      <c r="H139" s="4" t="str">
        <f t="shared" si="14"/>
        <v/>
      </c>
      <c r="AK139" s="4" t="str">
        <f t="shared" si="15"/>
        <v/>
      </c>
      <c r="AL139" s="4"/>
      <c r="AM139" s="4" t="str">
        <f t="shared" si="16"/>
        <v/>
      </c>
      <c r="AN139" s="4" t="str">
        <f>IFERROR(_xlfn.XLOOKUP(HEX2DEC(MID(AM139,LEN(AM139)-7,4)),mscod[MSCOD_BY_VAL],mscod[Description],""),"")</f>
        <v/>
      </c>
      <c r="AO139" s="4" t="str" cm="1">
        <f t="array" ref="AO139">_xlfn.XLOOKUP($K$1&amp;$Q$1&amp;"DPMB_SOCKET0__COMPUTE"&amp;AK139&amp;"__UNCORE__CHA__CHA"&amp;AL139&amp;"__UTIL__MC_ADDR"&amp;$B$1,cha_mc[VisualId]&amp;cha_mc[UnitTestingSeqKey]&amp;cha_mc[TestName],cha_mc[TestValue],"")</f>
        <v/>
      </c>
      <c r="AP139" s="4" t="str" cm="1">
        <f t="array" ref="AP139">_xlfn.XLOOKUP($K$1&amp;$Q$1&amp;"DPMB_SOCKET0__COMPUTE"&amp;AK139&amp;"__UNCORE__CHA__CHA"&amp;AL139&amp;"__UTIL__MC_MISC"&amp;$B$1,cha_mc[VisualId]&amp;cha_mc[UnitTestingSeqKey]&amp;cha_mc[TestName],cha_mc[TestValue],"")</f>
        <v/>
      </c>
      <c r="AQ139" s="30"/>
      <c r="AR139" s="30"/>
      <c r="AS139" s="30"/>
      <c r="AT139" s="30"/>
      <c r="AU139" s="30"/>
      <c r="AV139" s="4" t="str" cm="1">
        <f t="array" ref="AV139">_xlfn.XLOOKUP($K$1&amp;$Q$1&amp;"DPMB_SOCKET0__COMPUTE"&amp;AK139&amp;"__UNCORE__CHA__CHA"&amp;AL139&amp;"__UTIL__MC_MISC3"&amp;$B$1,cha_mc[VisualId]&amp;cha_mc[UnitTestingSeqKey]&amp;cha_mc[TestName],cha_mc[TestValue],"")</f>
        <v/>
      </c>
      <c r="AW139" s="30"/>
      <c r="AX139" s="30"/>
      <c r="AY139" s="30"/>
      <c r="AZ139" s="30"/>
      <c r="BA139" s="30"/>
    </row>
    <row r="140" spans="1:53" x14ac:dyDescent="0.3">
      <c r="A140" s="4" t="str">
        <f t="shared" si="12"/>
        <v>74X97M1000031</v>
      </c>
      <c r="B140" s="4" t="str">
        <f t="shared" si="13"/>
        <v>1-1</v>
      </c>
      <c r="C140" s="4">
        <v>2</v>
      </c>
      <c r="D140" s="4">
        <v>136</v>
      </c>
      <c r="E140" s="4" t="str" cm="1">
        <f t="array" ref="E140">_xlfn.XLOOKUP(A140&amp;B140&amp;$E$1&amp;"DPMB_SOCKET0__COMPUTE"&amp;C140&amp;"__CPU__CORE"&amp;Check!D140&amp;"__ML2_CR_MC3_STATUS"&amp;$B$1,core_mc[VisualId]&amp;core_mc[PPVRun_MC]&amp;core_mc[Lot]&amp;core_mc[TestNameWithoutNumeric],core_mc[TestValue],"")</f>
        <v/>
      </c>
      <c r="F140" s="4">
        <v>136</v>
      </c>
      <c r="G140" s="4" t="str" cm="1">
        <f t="array" ref="G140">_xlfn.XLOOKUP(A140&amp;B140&amp;$E$1&amp;"DPMB_SOCKET0__COMPUTE"&amp;C140&amp;"__UNCORE__CHA__CHA"&amp;Check!F140&amp;"__UTIL__MC_STATUS"&amp;$B$1,cha_mc[VisualId]&amp;cha_mc[PPVRun_MC]&amp;cha_mc[Lot]&amp;cha_mc[TestNameWithoutNumeric],cha_mc[TestValue],"")</f>
        <v/>
      </c>
      <c r="H140" s="4" t="str">
        <f t="shared" si="14"/>
        <v/>
      </c>
      <c r="AK140" s="4" t="str">
        <f t="shared" si="15"/>
        <v/>
      </c>
      <c r="AL140" s="4"/>
      <c r="AM140" s="4" t="str">
        <f t="shared" si="16"/>
        <v/>
      </c>
      <c r="AN140" s="4" t="str">
        <f>IFERROR(_xlfn.XLOOKUP(HEX2DEC(MID(AM140,LEN(AM140)-7,4)),mscod[MSCOD_BY_VAL],mscod[Description],""),"")</f>
        <v/>
      </c>
      <c r="AO140" s="4" t="str" cm="1">
        <f t="array" ref="AO140">_xlfn.XLOOKUP($K$1&amp;$Q$1&amp;"DPMB_SOCKET0__COMPUTE"&amp;AK140&amp;"__UNCORE__CHA__CHA"&amp;AL140&amp;"__UTIL__MC_ADDR"&amp;$B$1,cha_mc[VisualId]&amp;cha_mc[UnitTestingSeqKey]&amp;cha_mc[TestName],cha_mc[TestValue],"")</f>
        <v/>
      </c>
      <c r="AP140" s="4" t="str" cm="1">
        <f t="array" ref="AP140">_xlfn.XLOOKUP($K$1&amp;$Q$1&amp;"DPMB_SOCKET0__COMPUTE"&amp;AK140&amp;"__UNCORE__CHA__CHA"&amp;AL140&amp;"__UTIL__MC_MISC"&amp;$B$1,cha_mc[VisualId]&amp;cha_mc[UnitTestingSeqKey]&amp;cha_mc[TestName],cha_mc[TestValue],"")</f>
        <v/>
      </c>
      <c r="AQ140" s="30"/>
      <c r="AR140" s="30"/>
      <c r="AS140" s="30"/>
      <c r="AT140" s="30"/>
      <c r="AU140" s="30"/>
      <c r="AV140" s="4" t="str" cm="1">
        <f t="array" ref="AV140">_xlfn.XLOOKUP($K$1&amp;$Q$1&amp;"DPMB_SOCKET0__COMPUTE"&amp;AK140&amp;"__UNCORE__CHA__CHA"&amp;AL140&amp;"__UTIL__MC_MISC3"&amp;$B$1,cha_mc[VisualId]&amp;cha_mc[UnitTestingSeqKey]&amp;cha_mc[TestName],cha_mc[TestValue],"")</f>
        <v/>
      </c>
      <c r="AW140" s="30"/>
      <c r="AX140" s="30"/>
      <c r="AY140" s="30"/>
      <c r="AZ140" s="30"/>
      <c r="BA140" s="30"/>
    </row>
    <row r="141" spans="1:53" x14ac:dyDescent="0.3">
      <c r="A141" s="4" t="str">
        <f t="shared" si="12"/>
        <v>74X97M1000031</v>
      </c>
      <c r="B141" s="4" t="str">
        <f t="shared" si="13"/>
        <v>1-1</v>
      </c>
      <c r="C141" s="4">
        <v>2</v>
      </c>
      <c r="D141" s="4">
        <v>137</v>
      </c>
      <c r="E141" s="4" t="str" cm="1">
        <f t="array" ref="E141">_xlfn.XLOOKUP(A141&amp;B141&amp;$E$1&amp;"DPMB_SOCKET0__COMPUTE"&amp;C141&amp;"__CPU__CORE"&amp;Check!D141&amp;"__ML2_CR_MC3_STATUS"&amp;$B$1,core_mc[VisualId]&amp;core_mc[PPVRun_MC]&amp;core_mc[Lot]&amp;core_mc[TestNameWithoutNumeric],core_mc[TestValue],"")</f>
        <v/>
      </c>
      <c r="F141" s="4">
        <v>137</v>
      </c>
      <c r="G141" s="4" t="str" cm="1">
        <f t="array" ref="G141">_xlfn.XLOOKUP(A141&amp;B141&amp;$E$1&amp;"DPMB_SOCKET0__COMPUTE"&amp;C141&amp;"__UNCORE__CHA__CHA"&amp;Check!F141&amp;"__UTIL__MC_STATUS"&amp;$B$1,cha_mc[VisualId]&amp;cha_mc[PPVRun_MC]&amp;cha_mc[Lot]&amp;cha_mc[TestNameWithoutNumeric],cha_mc[TestValue],"")</f>
        <v/>
      </c>
      <c r="H141" s="4" t="str">
        <f t="shared" si="14"/>
        <v/>
      </c>
      <c r="AK141" s="4" t="str">
        <f t="shared" si="15"/>
        <v/>
      </c>
      <c r="AL141" s="4"/>
      <c r="AM141" s="4" t="str">
        <f t="shared" si="16"/>
        <v/>
      </c>
      <c r="AN141" s="4" t="str">
        <f>IFERROR(_xlfn.XLOOKUP(HEX2DEC(MID(AM141,LEN(AM141)-7,4)),mscod[MSCOD_BY_VAL],mscod[Description],""),"")</f>
        <v/>
      </c>
      <c r="AO141" s="4" t="str" cm="1">
        <f t="array" ref="AO141">_xlfn.XLOOKUP($K$1&amp;$Q$1&amp;"DPMB_SOCKET0__COMPUTE"&amp;AK141&amp;"__UNCORE__CHA__CHA"&amp;AL141&amp;"__UTIL__MC_ADDR"&amp;$B$1,cha_mc[VisualId]&amp;cha_mc[UnitTestingSeqKey]&amp;cha_mc[TestName],cha_mc[TestValue],"")</f>
        <v/>
      </c>
      <c r="AP141" s="4" t="str" cm="1">
        <f t="array" ref="AP141">_xlfn.XLOOKUP($K$1&amp;$Q$1&amp;"DPMB_SOCKET0__COMPUTE"&amp;AK141&amp;"__UNCORE__CHA__CHA"&amp;AL141&amp;"__UTIL__MC_MISC"&amp;$B$1,cha_mc[VisualId]&amp;cha_mc[UnitTestingSeqKey]&amp;cha_mc[TestName],cha_mc[TestValue],"")</f>
        <v/>
      </c>
      <c r="AQ141" s="30"/>
      <c r="AR141" s="30"/>
      <c r="AS141" s="30"/>
      <c r="AT141" s="30"/>
      <c r="AU141" s="30"/>
      <c r="AV141" s="4" t="str" cm="1">
        <f t="array" ref="AV141">_xlfn.XLOOKUP($K$1&amp;$Q$1&amp;"DPMB_SOCKET0__COMPUTE"&amp;AK141&amp;"__UNCORE__CHA__CHA"&amp;AL141&amp;"__UTIL__MC_MISC3"&amp;$B$1,cha_mc[VisualId]&amp;cha_mc[UnitTestingSeqKey]&amp;cha_mc[TestName],cha_mc[TestValue],"")</f>
        <v/>
      </c>
      <c r="AW141" s="30"/>
      <c r="AX141" s="30"/>
      <c r="AY141" s="30"/>
      <c r="AZ141" s="30"/>
      <c r="BA141" s="30"/>
    </row>
    <row r="142" spans="1:53" x14ac:dyDescent="0.3">
      <c r="A142" s="4" t="str">
        <f t="shared" si="12"/>
        <v>74X97M1000031</v>
      </c>
      <c r="B142" s="4" t="str">
        <f t="shared" si="13"/>
        <v>1-1</v>
      </c>
      <c r="C142" s="4">
        <v>2</v>
      </c>
      <c r="D142" s="4">
        <v>138</v>
      </c>
      <c r="E142" s="4" t="str" cm="1">
        <f t="array" ref="E142">_xlfn.XLOOKUP(A142&amp;B142&amp;$E$1&amp;"DPMB_SOCKET0__COMPUTE"&amp;C142&amp;"__CPU__CORE"&amp;Check!D142&amp;"__ML2_CR_MC3_STATUS"&amp;$B$1,core_mc[VisualId]&amp;core_mc[PPVRun_MC]&amp;core_mc[Lot]&amp;core_mc[TestNameWithoutNumeric],core_mc[TestValue],"")</f>
        <v/>
      </c>
      <c r="F142" s="4">
        <v>138</v>
      </c>
      <c r="G142" s="4" t="str" cm="1">
        <f t="array" ref="G142">_xlfn.XLOOKUP(A142&amp;B142&amp;$E$1&amp;"DPMB_SOCKET0__COMPUTE"&amp;C142&amp;"__UNCORE__CHA__CHA"&amp;Check!F142&amp;"__UTIL__MC_STATUS"&amp;$B$1,cha_mc[VisualId]&amp;cha_mc[PPVRun_MC]&amp;cha_mc[Lot]&amp;cha_mc[TestNameWithoutNumeric],cha_mc[TestValue],"")</f>
        <v/>
      </c>
      <c r="H142" s="4" t="str">
        <f t="shared" si="14"/>
        <v/>
      </c>
      <c r="AK142" s="4" t="str">
        <f t="shared" si="15"/>
        <v/>
      </c>
      <c r="AL142" s="4"/>
      <c r="AM142" s="4" t="str">
        <f t="shared" si="16"/>
        <v/>
      </c>
      <c r="AN142" s="4" t="str">
        <f>IFERROR(_xlfn.XLOOKUP(HEX2DEC(MID(AM142,LEN(AM142)-7,4)),mscod[MSCOD_BY_VAL],mscod[Description],""),"")</f>
        <v/>
      </c>
      <c r="AO142" s="4" t="str" cm="1">
        <f t="array" ref="AO142">_xlfn.XLOOKUP($K$1&amp;$Q$1&amp;"DPMB_SOCKET0__COMPUTE"&amp;AK142&amp;"__UNCORE__CHA__CHA"&amp;AL142&amp;"__UTIL__MC_ADDR"&amp;$B$1,cha_mc[VisualId]&amp;cha_mc[UnitTestingSeqKey]&amp;cha_mc[TestName],cha_mc[TestValue],"")</f>
        <v/>
      </c>
      <c r="AP142" s="4" t="str" cm="1">
        <f t="array" ref="AP142">_xlfn.XLOOKUP($K$1&amp;$Q$1&amp;"DPMB_SOCKET0__COMPUTE"&amp;AK142&amp;"__UNCORE__CHA__CHA"&amp;AL142&amp;"__UTIL__MC_MISC"&amp;$B$1,cha_mc[VisualId]&amp;cha_mc[UnitTestingSeqKey]&amp;cha_mc[TestName],cha_mc[TestValue],"")</f>
        <v/>
      </c>
      <c r="AQ142" s="30"/>
      <c r="AR142" s="30"/>
      <c r="AS142" s="30"/>
      <c r="AT142" s="30"/>
      <c r="AU142" s="30"/>
      <c r="AV142" s="4" t="str" cm="1">
        <f t="array" ref="AV142">_xlfn.XLOOKUP($K$1&amp;$Q$1&amp;"DPMB_SOCKET0__COMPUTE"&amp;AK142&amp;"__UNCORE__CHA__CHA"&amp;AL142&amp;"__UTIL__MC_MISC3"&amp;$B$1,cha_mc[VisualId]&amp;cha_mc[UnitTestingSeqKey]&amp;cha_mc[TestName],cha_mc[TestValue],"")</f>
        <v/>
      </c>
      <c r="AW142" s="30"/>
      <c r="AX142" s="30"/>
      <c r="AY142" s="30"/>
      <c r="AZ142" s="30"/>
      <c r="BA142" s="30"/>
    </row>
    <row r="143" spans="1:53" x14ac:dyDescent="0.3">
      <c r="A143" s="4" t="str">
        <f t="shared" si="12"/>
        <v>74X97M1000031</v>
      </c>
      <c r="B143" s="4" t="str">
        <f t="shared" si="13"/>
        <v>1-1</v>
      </c>
      <c r="C143" s="4">
        <v>2</v>
      </c>
      <c r="D143" s="4">
        <v>139</v>
      </c>
      <c r="E143" s="4" t="str" cm="1">
        <f t="array" ref="E143">_xlfn.XLOOKUP(A143&amp;B143&amp;$E$1&amp;"DPMB_SOCKET0__COMPUTE"&amp;C143&amp;"__CPU__CORE"&amp;Check!D143&amp;"__ML2_CR_MC3_STATUS"&amp;$B$1,core_mc[VisualId]&amp;core_mc[PPVRun_MC]&amp;core_mc[Lot]&amp;core_mc[TestNameWithoutNumeric],core_mc[TestValue],"")</f>
        <v/>
      </c>
      <c r="F143" s="4">
        <v>139</v>
      </c>
      <c r="G143" s="4" t="str" cm="1">
        <f t="array" ref="G143">_xlfn.XLOOKUP(A143&amp;B143&amp;$E$1&amp;"DPMB_SOCKET0__COMPUTE"&amp;C143&amp;"__UNCORE__CHA__CHA"&amp;Check!F143&amp;"__UTIL__MC_STATUS"&amp;$B$1,cha_mc[VisualId]&amp;cha_mc[PPVRun_MC]&amp;cha_mc[Lot]&amp;cha_mc[TestNameWithoutNumeric],cha_mc[TestValue],"")</f>
        <v/>
      </c>
      <c r="H143" s="4" t="str">
        <f t="shared" si="14"/>
        <v/>
      </c>
      <c r="AK143" s="4" t="str">
        <f t="shared" si="15"/>
        <v/>
      </c>
      <c r="AL143" s="4"/>
      <c r="AM143" s="4" t="str">
        <f t="shared" si="16"/>
        <v/>
      </c>
      <c r="AN143" s="4" t="str">
        <f>IFERROR(_xlfn.XLOOKUP(HEX2DEC(MID(AM143,LEN(AM143)-7,4)),mscod[MSCOD_BY_VAL],mscod[Description],""),"")</f>
        <v/>
      </c>
      <c r="AO143" s="4" t="str" cm="1">
        <f t="array" ref="AO143">_xlfn.XLOOKUP($K$1&amp;$Q$1&amp;"DPMB_SOCKET0__COMPUTE"&amp;AK143&amp;"__UNCORE__CHA__CHA"&amp;AL143&amp;"__UTIL__MC_ADDR"&amp;$B$1,cha_mc[VisualId]&amp;cha_mc[UnitTestingSeqKey]&amp;cha_mc[TestName],cha_mc[TestValue],"")</f>
        <v/>
      </c>
      <c r="AP143" s="4" t="str" cm="1">
        <f t="array" ref="AP143">_xlfn.XLOOKUP($K$1&amp;$Q$1&amp;"DPMB_SOCKET0__COMPUTE"&amp;AK143&amp;"__UNCORE__CHA__CHA"&amp;AL143&amp;"__UTIL__MC_MISC"&amp;$B$1,cha_mc[VisualId]&amp;cha_mc[UnitTestingSeqKey]&amp;cha_mc[TestName],cha_mc[TestValue],"")</f>
        <v/>
      </c>
      <c r="AQ143" s="30"/>
      <c r="AR143" s="30"/>
      <c r="AS143" s="30"/>
      <c r="AT143" s="30"/>
      <c r="AU143" s="30"/>
      <c r="AV143" s="4" t="str" cm="1">
        <f t="array" ref="AV143">_xlfn.XLOOKUP($K$1&amp;$Q$1&amp;"DPMB_SOCKET0__COMPUTE"&amp;AK143&amp;"__UNCORE__CHA__CHA"&amp;AL143&amp;"__UTIL__MC_MISC3"&amp;$B$1,cha_mc[VisualId]&amp;cha_mc[UnitTestingSeqKey]&amp;cha_mc[TestName],cha_mc[TestValue],"")</f>
        <v/>
      </c>
      <c r="AW143" s="30"/>
      <c r="AX143" s="30"/>
      <c r="AY143" s="30"/>
      <c r="AZ143" s="30"/>
      <c r="BA143" s="30"/>
    </row>
    <row r="144" spans="1:53" x14ac:dyDescent="0.3">
      <c r="A144" s="4" t="str">
        <f t="shared" si="12"/>
        <v>74X97M1000031</v>
      </c>
      <c r="B144" s="4" t="str">
        <f t="shared" si="13"/>
        <v>1-1</v>
      </c>
      <c r="C144" s="4">
        <v>2</v>
      </c>
      <c r="D144" s="4">
        <v>140</v>
      </c>
      <c r="E144" s="4" t="str" cm="1">
        <f t="array" ref="E144">_xlfn.XLOOKUP(A144&amp;B144&amp;$E$1&amp;"DPMB_SOCKET0__COMPUTE"&amp;C144&amp;"__CPU__CORE"&amp;Check!D144&amp;"__ML2_CR_MC3_STATUS"&amp;$B$1,core_mc[VisualId]&amp;core_mc[PPVRun_MC]&amp;core_mc[Lot]&amp;core_mc[TestNameWithoutNumeric],core_mc[TestValue],"")</f>
        <v/>
      </c>
      <c r="F144" s="4">
        <v>140</v>
      </c>
      <c r="G144" s="4" t="str" cm="1">
        <f t="array" ref="G144">_xlfn.XLOOKUP(A144&amp;B144&amp;$E$1&amp;"DPMB_SOCKET0__COMPUTE"&amp;C144&amp;"__UNCORE__CHA__CHA"&amp;Check!F144&amp;"__UTIL__MC_STATUS"&amp;$B$1,cha_mc[VisualId]&amp;cha_mc[PPVRun_MC]&amp;cha_mc[Lot]&amp;cha_mc[TestNameWithoutNumeric],cha_mc[TestValue],"")</f>
        <v/>
      </c>
      <c r="H144" s="4" t="str">
        <f t="shared" si="14"/>
        <v/>
      </c>
      <c r="AK144" s="4" t="str">
        <f t="shared" si="15"/>
        <v/>
      </c>
      <c r="AL144" s="4"/>
      <c r="AM144" s="4" t="str">
        <f t="shared" si="16"/>
        <v/>
      </c>
      <c r="AN144" s="4" t="str">
        <f>IFERROR(_xlfn.XLOOKUP(HEX2DEC(MID(AM144,LEN(AM144)-7,4)),mscod[MSCOD_BY_VAL],mscod[Description],""),"")</f>
        <v/>
      </c>
      <c r="AO144" s="4" t="str" cm="1">
        <f t="array" ref="AO144">_xlfn.XLOOKUP($K$1&amp;$Q$1&amp;"DPMB_SOCKET0__COMPUTE"&amp;AK144&amp;"__UNCORE__CHA__CHA"&amp;AL144&amp;"__UTIL__MC_ADDR"&amp;$B$1,cha_mc[VisualId]&amp;cha_mc[UnitTestingSeqKey]&amp;cha_mc[TestName],cha_mc[TestValue],"")</f>
        <v/>
      </c>
      <c r="AP144" s="4" t="str" cm="1">
        <f t="array" ref="AP144">_xlfn.XLOOKUP($K$1&amp;$Q$1&amp;"DPMB_SOCKET0__COMPUTE"&amp;AK144&amp;"__UNCORE__CHA__CHA"&amp;AL144&amp;"__UTIL__MC_MISC"&amp;$B$1,cha_mc[VisualId]&amp;cha_mc[UnitTestingSeqKey]&amp;cha_mc[TestName],cha_mc[TestValue],"")</f>
        <v/>
      </c>
      <c r="AQ144" s="30"/>
      <c r="AR144" s="30"/>
      <c r="AS144" s="30"/>
      <c r="AT144" s="30"/>
      <c r="AU144" s="30"/>
      <c r="AV144" s="4" t="str" cm="1">
        <f t="array" ref="AV144">_xlfn.XLOOKUP($K$1&amp;$Q$1&amp;"DPMB_SOCKET0__COMPUTE"&amp;AK144&amp;"__UNCORE__CHA__CHA"&amp;AL144&amp;"__UTIL__MC_MISC3"&amp;$B$1,cha_mc[VisualId]&amp;cha_mc[UnitTestingSeqKey]&amp;cha_mc[TestName],cha_mc[TestValue],"")</f>
        <v/>
      </c>
      <c r="AW144" s="30"/>
      <c r="AX144" s="30"/>
      <c r="AY144" s="30"/>
      <c r="AZ144" s="30"/>
      <c r="BA144" s="30"/>
    </row>
    <row r="145" spans="1:53" x14ac:dyDescent="0.3">
      <c r="A145" s="4" t="str">
        <f t="shared" si="12"/>
        <v>74X97M1000031</v>
      </c>
      <c r="B145" s="4" t="str">
        <f t="shared" si="13"/>
        <v>1-1</v>
      </c>
      <c r="C145" s="4">
        <v>2</v>
      </c>
      <c r="D145" s="4">
        <v>141</v>
      </c>
      <c r="E145" s="4" t="str" cm="1">
        <f t="array" ref="E145">_xlfn.XLOOKUP(A145&amp;B145&amp;$E$1&amp;"DPMB_SOCKET0__COMPUTE"&amp;C145&amp;"__CPU__CORE"&amp;Check!D145&amp;"__ML2_CR_MC3_STATUS"&amp;$B$1,core_mc[VisualId]&amp;core_mc[PPVRun_MC]&amp;core_mc[Lot]&amp;core_mc[TestNameWithoutNumeric],core_mc[TestValue],"")</f>
        <v/>
      </c>
      <c r="F145" s="4">
        <v>141</v>
      </c>
      <c r="G145" s="4" t="str" cm="1">
        <f t="array" ref="G145">_xlfn.XLOOKUP(A145&amp;B145&amp;$E$1&amp;"DPMB_SOCKET0__COMPUTE"&amp;C145&amp;"__UNCORE__CHA__CHA"&amp;Check!F145&amp;"__UTIL__MC_STATUS"&amp;$B$1,cha_mc[VisualId]&amp;cha_mc[PPVRun_MC]&amp;cha_mc[Lot]&amp;cha_mc[TestNameWithoutNumeric],cha_mc[TestValue],"")</f>
        <v/>
      </c>
      <c r="H145" s="4" t="str">
        <f t="shared" si="14"/>
        <v/>
      </c>
      <c r="AK145" s="4" t="str">
        <f t="shared" si="15"/>
        <v/>
      </c>
      <c r="AL145" s="4"/>
      <c r="AM145" s="4" t="str">
        <f t="shared" si="16"/>
        <v/>
      </c>
      <c r="AN145" s="4" t="str">
        <f>IFERROR(_xlfn.XLOOKUP(HEX2DEC(MID(AM145,LEN(AM145)-7,4)),mscod[MSCOD_BY_VAL],mscod[Description],""),"")</f>
        <v/>
      </c>
      <c r="AO145" s="4" t="str" cm="1">
        <f t="array" ref="AO145">_xlfn.XLOOKUP($K$1&amp;$Q$1&amp;"DPMB_SOCKET0__COMPUTE"&amp;AK145&amp;"__UNCORE__CHA__CHA"&amp;AL145&amp;"__UTIL__MC_ADDR"&amp;$B$1,cha_mc[VisualId]&amp;cha_mc[UnitTestingSeqKey]&amp;cha_mc[TestName],cha_mc[TestValue],"")</f>
        <v/>
      </c>
      <c r="AP145" s="4" t="str" cm="1">
        <f t="array" ref="AP145">_xlfn.XLOOKUP($K$1&amp;$Q$1&amp;"DPMB_SOCKET0__COMPUTE"&amp;AK145&amp;"__UNCORE__CHA__CHA"&amp;AL145&amp;"__UTIL__MC_MISC"&amp;$B$1,cha_mc[VisualId]&amp;cha_mc[UnitTestingSeqKey]&amp;cha_mc[TestName],cha_mc[TestValue],"")</f>
        <v/>
      </c>
      <c r="AQ145" s="30"/>
      <c r="AR145" s="30"/>
      <c r="AS145" s="30"/>
      <c r="AT145" s="30"/>
      <c r="AU145" s="30"/>
      <c r="AV145" s="4" t="str" cm="1">
        <f t="array" ref="AV145">_xlfn.XLOOKUP($K$1&amp;$Q$1&amp;"DPMB_SOCKET0__COMPUTE"&amp;AK145&amp;"__UNCORE__CHA__CHA"&amp;AL145&amp;"__UTIL__MC_MISC3"&amp;$B$1,cha_mc[VisualId]&amp;cha_mc[UnitTestingSeqKey]&amp;cha_mc[TestName],cha_mc[TestValue],"")</f>
        <v/>
      </c>
      <c r="AW145" s="30"/>
      <c r="AX145" s="30"/>
      <c r="AY145" s="30"/>
      <c r="AZ145" s="30"/>
      <c r="BA145" s="30"/>
    </row>
    <row r="146" spans="1:53" x14ac:dyDescent="0.3">
      <c r="A146" s="4" t="str">
        <f t="shared" si="12"/>
        <v>74X97M1000031</v>
      </c>
      <c r="B146" s="4" t="str">
        <f t="shared" si="13"/>
        <v>1-1</v>
      </c>
      <c r="C146" s="4">
        <v>2</v>
      </c>
      <c r="D146" s="4">
        <v>142</v>
      </c>
      <c r="E146" s="4" t="str" cm="1">
        <f t="array" ref="E146">_xlfn.XLOOKUP(A146&amp;B146&amp;$E$1&amp;"DPMB_SOCKET0__COMPUTE"&amp;C146&amp;"__CPU__CORE"&amp;Check!D146&amp;"__ML2_CR_MC3_STATUS"&amp;$B$1,core_mc[VisualId]&amp;core_mc[PPVRun_MC]&amp;core_mc[Lot]&amp;core_mc[TestNameWithoutNumeric],core_mc[TestValue],"")</f>
        <v/>
      </c>
      <c r="F146" s="4">
        <v>142</v>
      </c>
      <c r="G146" s="4" t="str" cm="1">
        <f t="array" ref="G146">_xlfn.XLOOKUP(A146&amp;B146&amp;$E$1&amp;"DPMB_SOCKET0__COMPUTE"&amp;C146&amp;"__UNCORE__CHA__CHA"&amp;Check!F146&amp;"__UTIL__MC_STATUS"&amp;$B$1,cha_mc[VisualId]&amp;cha_mc[PPVRun_MC]&amp;cha_mc[Lot]&amp;cha_mc[TestNameWithoutNumeric],cha_mc[TestValue],"")</f>
        <v/>
      </c>
      <c r="H146" s="4" t="str">
        <f t="shared" si="14"/>
        <v/>
      </c>
      <c r="AK146" s="4" t="str">
        <f t="shared" si="15"/>
        <v/>
      </c>
      <c r="AL146" s="4"/>
      <c r="AM146" s="4" t="str">
        <f t="shared" si="16"/>
        <v/>
      </c>
      <c r="AN146" s="4" t="str">
        <f>IFERROR(_xlfn.XLOOKUP(HEX2DEC(MID(AM146,LEN(AM146)-7,4)),mscod[MSCOD_BY_VAL],mscod[Description],""),"")</f>
        <v/>
      </c>
      <c r="AO146" s="4" t="str" cm="1">
        <f t="array" ref="AO146">_xlfn.XLOOKUP($K$1&amp;$Q$1&amp;"DPMB_SOCKET0__COMPUTE"&amp;AK146&amp;"__UNCORE__CHA__CHA"&amp;AL146&amp;"__UTIL__MC_ADDR"&amp;$B$1,cha_mc[VisualId]&amp;cha_mc[UnitTestingSeqKey]&amp;cha_mc[TestName],cha_mc[TestValue],"")</f>
        <v/>
      </c>
      <c r="AP146" s="4" t="str" cm="1">
        <f t="array" ref="AP146">_xlfn.XLOOKUP($K$1&amp;$Q$1&amp;"DPMB_SOCKET0__COMPUTE"&amp;AK146&amp;"__UNCORE__CHA__CHA"&amp;AL146&amp;"__UTIL__MC_MISC"&amp;$B$1,cha_mc[VisualId]&amp;cha_mc[UnitTestingSeqKey]&amp;cha_mc[TestName],cha_mc[TestValue],"")</f>
        <v/>
      </c>
      <c r="AQ146" s="30"/>
      <c r="AR146" s="30"/>
      <c r="AS146" s="30"/>
      <c r="AT146" s="30"/>
      <c r="AU146" s="30"/>
      <c r="AV146" s="4" t="str" cm="1">
        <f t="array" ref="AV146">_xlfn.XLOOKUP($K$1&amp;$Q$1&amp;"DPMB_SOCKET0__COMPUTE"&amp;AK146&amp;"__UNCORE__CHA__CHA"&amp;AL146&amp;"__UTIL__MC_MISC3"&amp;$B$1,cha_mc[VisualId]&amp;cha_mc[UnitTestingSeqKey]&amp;cha_mc[TestName],cha_mc[TestValue],"")</f>
        <v/>
      </c>
      <c r="AW146" s="30"/>
      <c r="AX146" s="30"/>
      <c r="AY146" s="30"/>
      <c r="AZ146" s="30"/>
      <c r="BA146" s="30"/>
    </row>
    <row r="147" spans="1:53" x14ac:dyDescent="0.3">
      <c r="A147" s="4" t="str">
        <f t="shared" si="12"/>
        <v>74X97M1000031</v>
      </c>
      <c r="B147" s="4" t="str">
        <f t="shared" si="13"/>
        <v>1-1</v>
      </c>
      <c r="C147" s="4">
        <v>2</v>
      </c>
      <c r="D147" s="4">
        <v>143</v>
      </c>
      <c r="E147" s="4" t="str" cm="1">
        <f t="array" ref="E147">_xlfn.XLOOKUP(A147&amp;B147&amp;$E$1&amp;"DPMB_SOCKET0__COMPUTE"&amp;C147&amp;"__CPU__CORE"&amp;Check!D147&amp;"__ML2_CR_MC3_STATUS"&amp;$B$1,core_mc[VisualId]&amp;core_mc[PPVRun_MC]&amp;core_mc[Lot]&amp;core_mc[TestNameWithoutNumeric],core_mc[TestValue],"")</f>
        <v/>
      </c>
      <c r="F147" s="4">
        <v>143</v>
      </c>
      <c r="G147" s="4" t="str" cm="1">
        <f t="array" ref="G147">_xlfn.XLOOKUP(A147&amp;B147&amp;$E$1&amp;"DPMB_SOCKET0__COMPUTE"&amp;C147&amp;"__UNCORE__CHA__CHA"&amp;Check!F147&amp;"__UTIL__MC_STATUS"&amp;$B$1,cha_mc[VisualId]&amp;cha_mc[PPVRun_MC]&amp;cha_mc[Lot]&amp;cha_mc[TestNameWithoutNumeric],cha_mc[TestValue],"")</f>
        <v/>
      </c>
      <c r="H147" s="4" t="str">
        <f t="shared" si="14"/>
        <v/>
      </c>
      <c r="AK147" s="4" t="str">
        <f t="shared" si="15"/>
        <v/>
      </c>
      <c r="AL147" s="4"/>
      <c r="AM147" s="4" t="str">
        <f t="shared" si="16"/>
        <v/>
      </c>
      <c r="AN147" s="4" t="str">
        <f>IFERROR(_xlfn.XLOOKUP(HEX2DEC(MID(AM147,LEN(AM147)-7,4)),mscod[MSCOD_BY_VAL],mscod[Description],""),"")</f>
        <v/>
      </c>
      <c r="AO147" s="4" t="str" cm="1">
        <f t="array" ref="AO147">_xlfn.XLOOKUP($K$1&amp;$Q$1&amp;"DPMB_SOCKET0__COMPUTE"&amp;AK147&amp;"__UNCORE__CHA__CHA"&amp;AL147&amp;"__UTIL__MC_ADDR"&amp;$B$1,cha_mc[VisualId]&amp;cha_mc[UnitTestingSeqKey]&amp;cha_mc[TestName],cha_mc[TestValue],"")</f>
        <v/>
      </c>
      <c r="AP147" s="4" t="str" cm="1">
        <f t="array" ref="AP147">_xlfn.XLOOKUP($K$1&amp;$Q$1&amp;"DPMB_SOCKET0__COMPUTE"&amp;AK147&amp;"__UNCORE__CHA__CHA"&amp;AL147&amp;"__UTIL__MC_MISC"&amp;$B$1,cha_mc[VisualId]&amp;cha_mc[UnitTestingSeqKey]&amp;cha_mc[TestName],cha_mc[TestValue],"")</f>
        <v/>
      </c>
      <c r="AQ147" s="30"/>
      <c r="AR147" s="30"/>
      <c r="AS147" s="30"/>
      <c r="AT147" s="30"/>
      <c r="AU147" s="30"/>
      <c r="AV147" s="4" t="str" cm="1">
        <f t="array" ref="AV147">_xlfn.XLOOKUP($K$1&amp;$Q$1&amp;"DPMB_SOCKET0__COMPUTE"&amp;AK147&amp;"__UNCORE__CHA__CHA"&amp;AL147&amp;"__UTIL__MC_MISC3"&amp;$B$1,cha_mc[VisualId]&amp;cha_mc[UnitTestingSeqKey]&amp;cha_mc[TestName],cha_mc[TestValue],"")</f>
        <v/>
      </c>
      <c r="AW147" s="30"/>
      <c r="AX147" s="30"/>
      <c r="AY147" s="30"/>
      <c r="AZ147" s="30"/>
      <c r="BA147" s="30"/>
    </row>
    <row r="148" spans="1:53" x14ac:dyDescent="0.3">
      <c r="A148" s="4" t="str">
        <f t="shared" si="12"/>
        <v>74X97M1000031</v>
      </c>
      <c r="B148" s="4" t="str">
        <f t="shared" si="13"/>
        <v>1-1</v>
      </c>
      <c r="C148" s="4">
        <v>2</v>
      </c>
      <c r="D148" s="4">
        <v>144</v>
      </c>
      <c r="E148" s="4" t="str" cm="1">
        <f t="array" ref="E148">_xlfn.XLOOKUP(A148&amp;B148&amp;$E$1&amp;"DPMB_SOCKET0__COMPUTE"&amp;C148&amp;"__CPU__CORE"&amp;Check!D148&amp;"__ML2_CR_MC3_STATUS"&amp;$B$1,core_mc[VisualId]&amp;core_mc[PPVRun_MC]&amp;core_mc[Lot]&amp;core_mc[TestNameWithoutNumeric],core_mc[TestValue],"")</f>
        <v/>
      </c>
      <c r="F148" s="4">
        <v>144</v>
      </c>
      <c r="G148" s="4" t="str" cm="1">
        <f t="array" ref="G148">_xlfn.XLOOKUP(A148&amp;B148&amp;$E$1&amp;"DPMB_SOCKET0__COMPUTE"&amp;C148&amp;"__UNCORE__CHA__CHA"&amp;Check!F148&amp;"__UTIL__MC_STATUS"&amp;$B$1,cha_mc[VisualId]&amp;cha_mc[PPVRun_MC]&amp;cha_mc[Lot]&amp;cha_mc[TestNameWithoutNumeric],cha_mc[TestValue],"")</f>
        <v/>
      </c>
      <c r="H148" s="4" t="str">
        <f t="shared" si="14"/>
        <v/>
      </c>
      <c r="AK148" s="4" t="str">
        <f t="shared" si="15"/>
        <v/>
      </c>
      <c r="AL148" s="4"/>
      <c r="AM148" s="4" t="str">
        <f t="shared" si="16"/>
        <v/>
      </c>
      <c r="AN148" s="4" t="str">
        <f>IFERROR(_xlfn.XLOOKUP(HEX2DEC(MID(AM148,LEN(AM148)-7,4)),mscod[MSCOD_BY_VAL],mscod[Description],""),"")</f>
        <v/>
      </c>
      <c r="AO148" s="4" t="str" cm="1">
        <f t="array" ref="AO148">_xlfn.XLOOKUP($K$1&amp;$Q$1&amp;"DPMB_SOCKET0__COMPUTE"&amp;AK148&amp;"__UNCORE__CHA__CHA"&amp;AL148&amp;"__UTIL__MC_ADDR"&amp;$B$1,cha_mc[VisualId]&amp;cha_mc[UnitTestingSeqKey]&amp;cha_mc[TestName],cha_mc[TestValue],"")</f>
        <v/>
      </c>
      <c r="AP148" s="4" t="str" cm="1">
        <f t="array" ref="AP148">_xlfn.XLOOKUP($K$1&amp;$Q$1&amp;"DPMB_SOCKET0__COMPUTE"&amp;AK148&amp;"__UNCORE__CHA__CHA"&amp;AL148&amp;"__UTIL__MC_MISC"&amp;$B$1,cha_mc[VisualId]&amp;cha_mc[UnitTestingSeqKey]&amp;cha_mc[TestName],cha_mc[TestValue],"")</f>
        <v/>
      </c>
      <c r="AQ148" s="30"/>
      <c r="AR148" s="30"/>
      <c r="AS148" s="30"/>
      <c r="AT148" s="30"/>
      <c r="AU148" s="30"/>
      <c r="AV148" s="4" t="str" cm="1">
        <f t="array" ref="AV148">_xlfn.XLOOKUP($K$1&amp;$Q$1&amp;"DPMB_SOCKET0__COMPUTE"&amp;AK148&amp;"__UNCORE__CHA__CHA"&amp;AL148&amp;"__UTIL__MC_MISC3"&amp;$B$1,cha_mc[VisualId]&amp;cha_mc[UnitTestingSeqKey]&amp;cha_mc[TestName],cha_mc[TestValue],"")</f>
        <v/>
      </c>
      <c r="AW148" s="30"/>
      <c r="AX148" s="30"/>
      <c r="AY148" s="30"/>
      <c r="AZ148" s="30"/>
      <c r="BA148" s="30"/>
    </row>
    <row r="149" spans="1:53" x14ac:dyDescent="0.3">
      <c r="A149" s="4" t="str">
        <f t="shared" si="12"/>
        <v>74X97M1000031</v>
      </c>
      <c r="B149" s="4" t="str">
        <f t="shared" si="13"/>
        <v>1-1</v>
      </c>
      <c r="C149" s="4">
        <v>2</v>
      </c>
      <c r="D149" s="4">
        <v>145</v>
      </c>
      <c r="E149" s="4" t="str" cm="1">
        <f t="array" ref="E149">_xlfn.XLOOKUP(A149&amp;B149&amp;$E$1&amp;"DPMB_SOCKET0__COMPUTE"&amp;C149&amp;"__CPU__CORE"&amp;Check!D149&amp;"__ML2_CR_MC3_STATUS"&amp;$B$1,core_mc[VisualId]&amp;core_mc[PPVRun_MC]&amp;core_mc[Lot]&amp;core_mc[TestNameWithoutNumeric],core_mc[TestValue],"")</f>
        <v/>
      </c>
      <c r="F149" s="4">
        <v>145</v>
      </c>
      <c r="G149" s="4" t="str" cm="1">
        <f t="array" ref="G149">_xlfn.XLOOKUP(A149&amp;B149&amp;$E$1&amp;"DPMB_SOCKET0__COMPUTE"&amp;C149&amp;"__UNCORE__CHA__CHA"&amp;Check!F149&amp;"__UTIL__MC_STATUS"&amp;$B$1,cha_mc[VisualId]&amp;cha_mc[PPVRun_MC]&amp;cha_mc[Lot]&amp;cha_mc[TestNameWithoutNumeric],cha_mc[TestValue],"")</f>
        <v/>
      </c>
      <c r="H149" s="4" t="str">
        <f t="shared" si="14"/>
        <v/>
      </c>
      <c r="AK149" s="4" t="str">
        <f t="shared" si="15"/>
        <v/>
      </c>
      <c r="AL149" s="4"/>
      <c r="AM149" s="4" t="str">
        <f t="shared" si="16"/>
        <v/>
      </c>
      <c r="AN149" s="4" t="str">
        <f>IFERROR(_xlfn.XLOOKUP(HEX2DEC(MID(AM149,LEN(AM149)-7,4)),mscod[MSCOD_BY_VAL],mscod[Description],""),"")</f>
        <v/>
      </c>
      <c r="AO149" s="4" t="str" cm="1">
        <f t="array" ref="AO149">_xlfn.XLOOKUP($K$1&amp;$Q$1&amp;"DPMB_SOCKET0__COMPUTE"&amp;AK149&amp;"__UNCORE__CHA__CHA"&amp;AL149&amp;"__UTIL__MC_ADDR"&amp;$B$1,cha_mc[VisualId]&amp;cha_mc[UnitTestingSeqKey]&amp;cha_mc[TestName],cha_mc[TestValue],"")</f>
        <v/>
      </c>
      <c r="AP149" s="4" t="str" cm="1">
        <f t="array" ref="AP149">_xlfn.XLOOKUP($K$1&amp;$Q$1&amp;"DPMB_SOCKET0__COMPUTE"&amp;AK149&amp;"__UNCORE__CHA__CHA"&amp;AL149&amp;"__UTIL__MC_MISC"&amp;$B$1,cha_mc[VisualId]&amp;cha_mc[UnitTestingSeqKey]&amp;cha_mc[TestName],cha_mc[TestValue],"")</f>
        <v/>
      </c>
      <c r="AQ149" s="30"/>
      <c r="AR149" s="30"/>
      <c r="AS149" s="30"/>
      <c r="AT149" s="30"/>
      <c r="AU149" s="30"/>
      <c r="AV149" s="4" t="str" cm="1">
        <f t="array" ref="AV149">_xlfn.XLOOKUP($K$1&amp;$Q$1&amp;"DPMB_SOCKET0__COMPUTE"&amp;AK149&amp;"__UNCORE__CHA__CHA"&amp;AL149&amp;"__UTIL__MC_MISC3"&amp;$B$1,cha_mc[VisualId]&amp;cha_mc[UnitTestingSeqKey]&amp;cha_mc[TestName],cha_mc[TestValue],"")</f>
        <v/>
      </c>
      <c r="AW149" s="30"/>
      <c r="AX149" s="30"/>
      <c r="AY149" s="30"/>
      <c r="AZ149" s="30"/>
      <c r="BA149" s="30"/>
    </row>
    <row r="150" spans="1:53" x14ac:dyDescent="0.3">
      <c r="A150" s="4" t="str">
        <f t="shared" si="12"/>
        <v>74X97M1000031</v>
      </c>
      <c r="B150" s="4" t="str">
        <f t="shared" si="13"/>
        <v>1-1</v>
      </c>
      <c r="C150" s="4">
        <v>2</v>
      </c>
      <c r="D150" s="4">
        <v>146</v>
      </c>
      <c r="E150" s="4" t="str" cm="1">
        <f t="array" ref="E150">_xlfn.XLOOKUP(A150&amp;B150&amp;$E$1&amp;"DPMB_SOCKET0__COMPUTE"&amp;C150&amp;"__CPU__CORE"&amp;Check!D150&amp;"__ML2_CR_MC3_STATUS"&amp;$B$1,core_mc[VisualId]&amp;core_mc[PPVRun_MC]&amp;core_mc[Lot]&amp;core_mc[TestNameWithoutNumeric],core_mc[TestValue],"")</f>
        <v/>
      </c>
      <c r="F150" s="4">
        <v>146</v>
      </c>
      <c r="G150" s="4" t="str" cm="1">
        <f t="array" ref="G150">_xlfn.XLOOKUP(A150&amp;B150&amp;$E$1&amp;"DPMB_SOCKET0__COMPUTE"&amp;C150&amp;"__UNCORE__CHA__CHA"&amp;Check!F150&amp;"__UTIL__MC_STATUS"&amp;$B$1,cha_mc[VisualId]&amp;cha_mc[PPVRun_MC]&amp;cha_mc[Lot]&amp;cha_mc[TestNameWithoutNumeric],cha_mc[TestValue],"")</f>
        <v/>
      </c>
      <c r="H150" s="4" t="str">
        <f t="shared" si="14"/>
        <v/>
      </c>
      <c r="AK150" s="4" t="str">
        <f t="shared" si="15"/>
        <v/>
      </c>
      <c r="AL150" s="4"/>
      <c r="AM150" s="4" t="str">
        <f t="shared" si="16"/>
        <v/>
      </c>
      <c r="AN150" s="4" t="str">
        <f>IFERROR(_xlfn.XLOOKUP(HEX2DEC(MID(AM150,LEN(AM150)-7,4)),mscod[MSCOD_BY_VAL],mscod[Description],""),"")</f>
        <v/>
      </c>
      <c r="AO150" s="4" t="str" cm="1">
        <f t="array" ref="AO150">_xlfn.XLOOKUP($K$1&amp;$Q$1&amp;"DPMB_SOCKET0__COMPUTE"&amp;AK150&amp;"__UNCORE__CHA__CHA"&amp;AL150&amp;"__UTIL__MC_ADDR"&amp;$B$1,cha_mc[VisualId]&amp;cha_mc[UnitTestingSeqKey]&amp;cha_mc[TestName],cha_mc[TestValue],"")</f>
        <v/>
      </c>
      <c r="AP150" s="4" t="str" cm="1">
        <f t="array" ref="AP150">_xlfn.XLOOKUP($K$1&amp;$Q$1&amp;"DPMB_SOCKET0__COMPUTE"&amp;AK150&amp;"__UNCORE__CHA__CHA"&amp;AL150&amp;"__UTIL__MC_MISC"&amp;$B$1,cha_mc[VisualId]&amp;cha_mc[UnitTestingSeqKey]&amp;cha_mc[TestName],cha_mc[TestValue],"")</f>
        <v/>
      </c>
      <c r="AQ150" s="30"/>
      <c r="AR150" s="30"/>
      <c r="AS150" s="30"/>
      <c r="AT150" s="30"/>
      <c r="AU150" s="30"/>
      <c r="AV150" s="4" t="str" cm="1">
        <f t="array" ref="AV150">_xlfn.XLOOKUP($K$1&amp;$Q$1&amp;"DPMB_SOCKET0__COMPUTE"&amp;AK150&amp;"__UNCORE__CHA__CHA"&amp;AL150&amp;"__UTIL__MC_MISC3"&amp;$B$1,cha_mc[VisualId]&amp;cha_mc[UnitTestingSeqKey]&amp;cha_mc[TestName],cha_mc[TestValue],"")</f>
        <v/>
      </c>
      <c r="AW150" s="30"/>
      <c r="AX150" s="30"/>
      <c r="AY150" s="30"/>
      <c r="AZ150" s="30"/>
      <c r="BA150" s="30"/>
    </row>
    <row r="151" spans="1:53" x14ac:dyDescent="0.3">
      <c r="A151" s="4" t="str">
        <f t="shared" si="12"/>
        <v>74X97M1000031</v>
      </c>
      <c r="B151" s="4" t="str">
        <f t="shared" si="13"/>
        <v>1-1</v>
      </c>
      <c r="C151" s="4">
        <v>2</v>
      </c>
      <c r="D151" s="4">
        <v>147</v>
      </c>
      <c r="E151" s="4" t="str" cm="1">
        <f t="array" ref="E151">_xlfn.XLOOKUP(A151&amp;B151&amp;$E$1&amp;"DPMB_SOCKET0__COMPUTE"&amp;C151&amp;"__CPU__CORE"&amp;Check!D151&amp;"__ML2_CR_MC3_STATUS"&amp;$B$1,core_mc[VisualId]&amp;core_mc[PPVRun_MC]&amp;core_mc[Lot]&amp;core_mc[TestNameWithoutNumeric],core_mc[TestValue],"")</f>
        <v/>
      </c>
      <c r="F151" s="4">
        <v>147</v>
      </c>
      <c r="G151" s="4" t="str" cm="1">
        <f t="array" ref="G151">_xlfn.XLOOKUP(A151&amp;B151&amp;$E$1&amp;"DPMB_SOCKET0__COMPUTE"&amp;C151&amp;"__UNCORE__CHA__CHA"&amp;Check!F151&amp;"__UTIL__MC_STATUS"&amp;$B$1,cha_mc[VisualId]&amp;cha_mc[PPVRun_MC]&amp;cha_mc[Lot]&amp;cha_mc[TestNameWithoutNumeric],cha_mc[TestValue],"")</f>
        <v/>
      </c>
      <c r="H151" s="4" t="str">
        <f t="shared" si="14"/>
        <v/>
      </c>
      <c r="AK151" s="4" t="str">
        <f t="shared" si="15"/>
        <v/>
      </c>
      <c r="AL151" s="4"/>
      <c r="AM151" s="4" t="str">
        <f t="shared" si="16"/>
        <v/>
      </c>
      <c r="AN151" s="4" t="str">
        <f>IFERROR(_xlfn.XLOOKUP(HEX2DEC(MID(AM151,LEN(AM151)-7,4)),mscod[MSCOD_BY_VAL],mscod[Description],""),"")</f>
        <v/>
      </c>
      <c r="AO151" s="4" t="str" cm="1">
        <f t="array" ref="AO151">_xlfn.XLOOKUP($K$1&amp;$Q$1&amp;"DPMB_SOCKET0__COMPUTE"&amp;AK151&amp;"__UNCORE__CHA__CHA"&amp;AL151&amp;"__UTIL__MC_ADDR"&amp;$B$1,cha_mc[VisualId]&amp;cha_mc[UnitTestingSeqKey]&amp;cha_mc[TestName],cha_mc[TestValue],"")</f>
        <v/>
      </c>
      <c r="AP151" s="4" t="str" cm="1">
        <f t="array" ref="AP151">_xlfn.XLOOKUP($K$1&amp;$Q$1&amp;"DPMB_SOCKET0__COMPUTE"&amp;AK151&amp;"__UNCORE__CHA__CHA"&amp;AL151&amp;"__UTIL__MC_MISC"&amp;$B$1,cha_mc[VisualId]&amp;cha_mc[UnitTestingSeqKey]&amp;cha_mc[TestName],cha_mc[TestValue],"")</f>
        <v/>
      </c>
      <c r="AQ151" s="30"/>
      <c r="AR151" s="30"/>
      <c r="AS151" s="30"/>
      <c r="AT151" s="30"/>
      <c r="AU151" s="30"/>
      <c r="AV151" s="4" t="str" cm="1">
        <f t="array" ref="AV151">_xlfn.XLOOKUP($K$1&amp;$Q$1&amp;"DPMB_SOCKET0__COMPUTE"&amp;AK151&amp;"__UNCORE__CHA__CHA"&amp;AL151&amp;"__UTIL__MC_MISC3"&amp;$B$1,cha_mc[VisualId]&amp;cha_mc[UnitTestingSeqKey]&amp;cha_mc[TestName],cha_mc[TestValue],"")</f>
        <v/>
      </c>
      <c r="AW151" s="30"/>
      <c r="AX151" s="30"/>
      <c r="AY151" s="30"/>
      <c r="AZ151" s="30"/>
      <c r="BA151" s="30"/>
    </row>
    <row r="152" spans="1:53" x14ac:dyDescent="0.3">
      <c r="A152" s="4" t="str">
        <f t="shared" si="12"/>
        <v>74X97M1000031</v>
      </c>
      <c r="B152" s="4" t="str">
        <f t="shared" si="13"/>
        <v>1-1</v>
      </c>
      <c r="C152" s="4">
        <v>2</v>
      </c>
      <c r="D152" s="4">
        <v>148</v>
      </c>
      <c r="E152" s="4" t="str" cm="1">
        <f t="array" ref="E152">_xlfn.XLOOKUP(A152&amp;B152&amp;$E$1&amp;"DPMB_SOCKET0__COMPUTE"&amp;C152&amp;"__CPU__CORE"&amp;Check!D152&amp;"__ML2_CR_MC3_STATUS"&amp;$B$1,core_mc[VisualId]&amp;core_mc[PPVRun_MC]&amp;core_mc[Lot]&amp;core_mc[TestNameWithoutNumeric],core_mc[TestValue],"")</f>
        <v/>
      </c>
      <c r="F152" s="4">
        <v>148</v>
      </c>
      <c r="G152" s="4" t="str" cm="1">
        <f t="array" ref="G152">_xlfn.XLOOKUP(A152&amp;B152&amp;$E$1&amp;"DPMB_SOCKET0__COMPUTE"&amp;C152&amp;"__UNCORE__CHA__CHA"&amp;Check!F152&amp;"__UTIL__MC_STATUS"&amp;$B$1,cha_mc[VisualId]&amp;cha_mc[PPVRun_MC]&amp;cha_mc[Lot]&amp;cha_mc[TestNameWithoutNumeric],cha_mc[TestValue],"")</f>
        <v/>
      </c>
      <c r="H152" s="4" t="str">
        <f t="shared" si="14"/>
        <v/>
      </c>
      <c r="AK152" s="4" t="str">
        <f t="shared" si="15"/>
        <v/>
      </c>
      <c r="AL152" s="4"/>
      <c r="AM152" s="4" t="str">
        <f t="shared" si="16"/>
        <v/>
      </c>
      <c r="AN152" s="4" t="str">
        <f>IFERROR(_xlfn.XLOOKUP(HEX2DEC(MID(AM152,LEN(AM152)-7,4)),mscod[MSCOD_BY_VAL],mscod[Description],""),"")</f>
        <v/>
      </c>
      <c r="AO152" s="4" t="str" cm="1">
        <f t="array" ref="AO152">_xlfn.XLOOKUP($K$1&amp;$Q$1&amp;"DPMB_SOCKET0__COMPUTE"&amp;AK152&amp;"__UNCORE__CHA__CHA"&amp;AL152&amp;"__UTIL__MC_ADDR"&amp;$B$1,cha_mc[VisualId]&amp;cha_mc[UnitTestingSeqKey]&amp;cha_mc[TestName],cha_mc[TestValue],"")</f>
        <v/>
      </c>
      <c r="AP152" s="4" t="str" cm="1">
        <f t="array" ref="AP152">_xlfn.XLOOKUP($K$1&amp;$Q$1&amp;"DPMB_SOCKET0__COMPUTE"&amp;AK152&amp;"__UNCORE__CHA__CHA"&amp;AL152&amp;"__UTIL__MC_MISC"&amp;$B$1,cha_mc[VisualId]&amp;cha_mc[UnitTestingSeqKey]&amp;cha_mc[TestName],cha_mc[TestValue],"")</f>
        <v/>
      </c>
      <c r="AQ152" s="30"/>
      <c r="AR152" s="30"/>
      <c r="AS152" s="30"/>
      <c r="AT152" s="30"/>
      <c r="AU152" s="30"/>
      <c r="AV152" s="4" t="str" cm="1">
        <f t="array" ref="AV152">_xlfn.XLOOKUP($K$1&amp;$Q$1&amp;"DPMB_SOCKET0__COMPUTE"&amp;AK152&amp;"__UNCORE__CHA__CHA"&amp;AL152&amp;"__UTIL__MC_MISC3"&amp;$B$1,cha_mc[VisualId]&amp;cha_mc[UnitTestingSeqKey]&amp;cha_mc[TestName],cha_mc[TestValue],"")</f>
        <v/>
      </c>
      <c r="AW152" s="30"/>
      <c r="AX152" s="30"/>
      <c r="AY152" s="30"/>
      <c r="AZ152" s="30"/>
      <c r="BA152" s="30"/>
    </row>
    <row r="153" spans="1:53" x14ac:dyDescent="0.3">
      <c r="A153" s="4" t="str">
        <f t="shared" si="12"/>
        <v>74X97M1000031</v>
      </c>
      <c r="B153" s="4" t="str">
        <f t="shared" si="13"/>
        <v>1-1</v>
      </c>
      <c r="C153" s="4">
        <v>2</v>
      </c>
      <c r="D153" s="4">
        <v>149</v>
      </c>
      <c r="E153" s="4" t="str" cm="1">
        <f t="array" ref="E153">_xlfn.XLOOKUP(A153&amp;B153&amp;$E$1&amp;"DPMB_SOCKET0__COMPUTE"&amp;C153&amp;"__CPU__CORE"&amp;Check!D153&amp;"__ML2_CR_MC3_STATUS"&amp;$B$1,core_mc[VisualId]&amp;core_mc[PPVRun_MC]&amp;core_mc[Lot]&amp;core_mc[TestNameWithoutNumeric],core_mc[TestValue],"")</f>
        <v/>
      </c>
      <c r="F153" s="4">
        <v>149</v>
      </c>
      <c r="G153" s="4" t="str" cm="1">
        <f t="array" ref="G153">_xlfn.XLOOKUP(A153&amp;B153&amp;$E$1&amp;"DPMB_SOCKET0__COMPUTE"&amp;C153&amp;"__UNCORE__CHA__CHA"&amp;Check!F153&amp;"__UTIL__MC_STATUS"&amp;$B$1,cha_mc[VisualId]&amp;cha_mc[PPVRun_MC]&amp;cha_mc[Lot]&amp;cha_mc[TestNameWithoutNumeric],cha_mc[TestValue],"")</f>
        <v/>
      </c>
      <c r="H153" s="4" t="str">
        <f t="shared" si="14"/>
        <v/>
      </c>
      <c r="AK153" s="4" t="str">
        <f t="shared" si="15"/>
        <v/>
      </c>
      <c r="AL153" s="4"/>
      <c r="AM153" s="4" t="str">
        <f t="shared" si="16"/>
        <v/>
      </c>
      <c r="AN153" s="4" t="str">
        <f>IFERROR(_xlfn.XLOOKUP(HEX2DEC(MID(AM153,LEN(AM153)-7,4)),mscod[MSCOD_BY_VAL],mscod[Description],""),"")</f>
        <v/>
      </c>
      <c r="AO153" s="4" t="str" cm="1">
        <f t="array" ref="AO153">_xlfn.XLOOKUP($K$1&amp;$Q$1&amp;"DPMB_SOCKET0__COMPUTE"&amp;AK153&amp;"__UNCORE__CHA__CHA"&amp;AL153&amp;"__UTIL__MC_ADDR"&amp;$B$1,cha_mc[VisualId]&amp;cha_mc[UnitTestingSeqKey]&amp;cha_mc[TestName],cha_mc[TestValue],"")</f>
        <v/>
      </c>
      <c r="AP153" s="4" t="str" cm="1">
        <f t="array" ref="AP153">_xlfn.XLOOKUP($K$1&amp;$Q$1&amp;"DPMB_SOCKET0__COMPUTE"&amp;AK153&amp;"__UNCORE__CHA__CHA"&amp;AL153&amp;"__UTIL__MC_MISC"&amp;$B$1,cha_mc[VisualId]&amp;cha_mc[UnitTestingSeqKey]&amp;cha_mc[TestName],cha_mc[TestValue],"")</f>
        <v/>
      </c>
      <c r="AQ153" s="30"/>
      <c r="AR153" s="30"/>
      <c r="AS153" s="30"/>
      <c r="AT153" s="30"/>
      <c r="AU153" s="30"/>
      <c r="AV153" s="4" t="str" cm="1">
        <f t="array" ref="AV153">_xlfn.XLOOKUP($K$1&amp;$Q$1&amp;"DPMB_SOCKET0__COMPUTE"&amp;AK153&amp;"__UNCORE__CHA__CHA"&amp;AL153&amp;"__UTIL__MC_MISC3"&amp;$B$1,cha_mc[VisualId]&amp;cha_mc[UnitTestingSeqKey]&amp;cha_mc[TestName],cha_mc[TestValue],"")</f>
        <v/>
      </c>
      <c r="AW153" s="30"/>
      <c r="AX153" s="30"/>
      <c r="AY153" s="30"/>
      <c r="AZ153" s="30"/>
      <c r="BA153" s="30"/>
    </row>
    <row r="154" spans="1:53" x14ac:dyDescent="0.3">
      <c r="A154" s="4" t="str">
        <f t="shared" si="12"/>
        <v>74X97M1000031</v>
      </c>
      <c r="B154" s="4" t="str">
        <f t="shared" si="13"/>
        <v>1-1</v>
      </c>
      <c r="C154" s="4">
        <v>2</v>
      </c>
      <c r="D154" s="4">
        <v>150</v>
      </c>
      <c r="E154" s="4" t="str" cm="1">
        <f t="array" ref="E154">_xlfn.XLOOKUP(A154&amp;B154&amp;$E$1&amp;"DPMB_SOCKET0__COMPUTE"&amp;C154&amp;"__CPU__CORE"&amp;Check!D154&amp;"__ML2_CR_MC3_STATUS"&amp;$B$1,core_mc[VisualId]&amp;core_mc[PPVRun_MC]&amp;core_mc[Lot]&amp;core_mc[TestNameWithoutNumeric],core_mc[TestValue],"")</f>
        <v/>
      </c>
      <c r="F154" s="4">
        <v>150</v>
      </c>
      <c r="G154" s="4" t="str" cm="1">
        <f t="array" ref="G154">_xlfn.XLOOKUP(A154&amp;B154&amp;$E$1&amp;"DPMB_SOCKET0__COMPUTE"&amp;C154&amp;"__UNCORE__CHA__CHA"&amp;Check!F154&amp;"__UTIL__MC_STATUS"&amp;$B$1,cha_mc[VisualId]&amp;cha_mc[PPVRun_MC]&amp;cha_mc[Lot]&amp;cha_mc[TestNameWithoutNumeric],cha_mc[TestValue],"")</f>
        <v/>
      </c>
      <c r="H154" s="4" t="str">
        <f t="shared" si="14"/>
        <v/>
      </c>
      <c r="AK154" s="4" t="str">
        <f t="shared" si="15"/>
        <v/>
      </c>
      <c r="AL154" s="4"/>
      <c r="AM154" s="4" t="str">
        <f t="shared" si="16"/>
        <v/>
      </c>
      <c r="AN154" s="4" t="str">
        <f>IFERROR(_xlfn.XLOOKUP(HEX2DEC(MID(AM154,LEN(AM154)-7,4)),mscod[MSCOD_BY_VAL],mscod[Description],""),"")</f>
        <v/>
      </c>
      <c r="AO154" s="4" t="str" cm="1">
        <f t="array" ref="AO154">_xlfn.XLOOKUP($K$1&amp;$Q$1&amp;"DPMB_SOCKET0__COMPUTE"&amp;AK154&amp;"__UNCORE__CHA__CHA"&amp;AL154&amp;"__UTIL__MC_ADDR"&amp;$B$1,cha_mc[VisualId]&amp;cha_mc[UnitTestingSeqKey]&amp;cha_mc[TestName],cha_mc[TestValue],"")</f>
        <v/>
      </c>
      <c r="AP154" s="4" t="str" cm="1">
        <f t="array" ref="AP154">_xlfn.XLOOKUP($K$1&amp;$Q$1&amp;"DPMB_SOCKET0__COMPUTE"&amp;AK154&amp;"__UNCORE__CHA__CHA"&amp;AL154&amp;"__UTIL__MC_MISC"&amp;$B$1,cha_mc[VisualId]&amp;cha_mc[UnitTestingSeqKey]&amp;cha_mc[TestName],cha_mc[TestValue],"")</f>
        <v/>
      </c>
      <c r="AQ154" s="30"/>
      <c r="AR154" s="30"/>
      <c r="AS154" s="30"/>
      <c r="AT154" s="30"/>
      <c r="AU154" s="30"/>
      <c r="AV154" s="4" t="str" cm="1">
        <f t="array" ref="AV154">_xlfn.XLOOKUP($K$1&amp;$Q$1&amp;"DPMB_SOCKET0__COMPUTE"&amp;AK154&amp;"__UNCORE__CHA__CHA"&amp;AL154&amp;"__UTIL__MC_MISC3"&amp;$B$1,cha_mc[VisualId]&amp;cha_mc[UnitTestingSeqKey]&amp;cha_mc[TestName],cha_mc[TestValue],"")</f>
        <v/>
      </c>
      <c r="AW154" s="30"/>
      <c r="AX154" s="30"/>
      <c r="AY154" s="30"/>
      <c r="AZ154" s="30"/>
      <c r="BA154" s="30"/>
    </row>
    <row r="155" spans="1:53" x14ac:dyDescent="0.3">
      <c r="A155" s="4" t="str">
        <f t="shared" si="12"/>
        <v>74X97M1000031</v>
      </c>
      <c r="B155" s="4" t="str">
        <f t="shared" si="13"/>
        <v>1-1</v>
      </c>
      <c r="C155" s="4">
        <v>2</v>
      </c>
      <c r="D155" s="4">
        <v>151</v>
      </c>
      <c r="E155" s="4" t="str" cm="1">
        <f t="array" ref="E155">_xlfn.XLOOKUP(A155&amp;B155&amp;$E$1&amp;"DPMB_SOCKET0__COMPUTE"&amp;C155&amp;"__CPU__CORE"&amp;Check!D155&amp;"__ML2_CR_MC3_STATUS"&amp;$B$1,core_mc[VisualId]&amp;core_mc[PPVRun_MC]&amp;core_mc[Lot]&amp;core_mc[TestNameWithoutNumeric],core_mc[TestValue],"")</f>
        <v/>
      </c>
      <c r="F155" s="4">
        <v>151</v>
      </c>
      <c r="G155" s="4" t="str" cm="1">
        <f t="array" ref="G155">_xlfn.XLOOKUP(A155&amp;B155&amp;$E$1&amp;"DPMB_SOCKET0__COMPUTE"&amp;C155&amp;"__UNCORE__CHA__CHA"&amp;Check!F155&amp;"__UTIL__MC_STATUS"&amp;$B$1,cha_mc[VisualId]&amp;cha_mc[PPVRun_MC]&amp;cha_mc[Lot]&amp;cha_mc[TestNameWithoutNumeric],cha_mc[TestValue],"")</f>
        <v/>
      </c>
      <c r="H155" s="4" t="str">
        <f t="shared" si="14"/>
        <v/>
      </c>
      <c r="AK155" s="4" t="str">
        <f t="shared" si="15"/>
        <v/>
      </c>
      <c r="AL155" s="4"/>
      <c r="AM155" s="4" t="str">
        <f t="shared" si="16"/>
        <v/>
      </c>
      <c r="AN155" s="4" t="str">
        <f>IFERROR(_xlfn.XLOOKUP(HEX2DEC(MID(AM155,LEN(AM155)-7,4)),mscod[MSCOD_BY_VAL],mscod[Description],""),"")</f>
        <v/>
      </c>
      <c r="AO155" s="4" t="str" cm="1">
        <f t="array" ref="AO155">_xlfn.XLOOKUP($K$1&amp;$Q$1&amp;"DPMB_SOCKET0__COMPUTE"&amp;AK155&amp;"__UNCORE__CHA__CHA"&amp;AL155&amp;"__UTIL__MC_ADDR"&amp;$B$1,cha_mc[VisualId]&amp;cha_mc[UnitTestingSeqKey]&amp;cha_mc[TestName],cha_mc[TestValue],"")</f>
        <v/>
      </c>
      <c r="AP155" s="4" t="str" cm="1">
        <f t="array" ref="AP155">_xlfn.XLOOKUP($K$1&amp;$Q$1&amp;"DPMB_SOCKET0__COMPUTE"&amp;AK155&amp;"__UNCORE__CHA__CHA"&amp;AL155&amp;"__UTIL__MC_MISC"&amp;$B$1,cha_mc[VisualId]&amp;cha_mc[UnitTestingSeqKey]&amp;cha_mc[TestName],cha_mc[TestValue],"")</f>
        <v/>
      </c>
      <c r="AQ155" s="30"/>
      <c r="AR155" s="30"/>
      <c r="AS155" s="30"/>
      <c r="AT155" s="30"/>
      <c r="AU155" s="30"/>
      <c r="AV155" s="4" t="str" cm="1">
        <f t="array" ref="AV155">_xlfn.XLOOKUP($K$1&amp;$Q$1&amp;"DPMB_SOCKET0__COMPUTE"&amp;AK155&amp;"__UNCORE__CHA__CHA"&amp;AL155&amp;"__UTIL__MC_MISC3"&amp;$B$1,cha_mc[VisualId]&amp;cha_mc[UnitTestingSeqKey]&amp;cha_mc[TestName],cha_mc[TestValue],"")</f>
        <v/>
      </c>
      <c r="AW155" s="30"/>
      <c r="AX155" s="30"/>
      <c r="AY155" s="30"/>
      <c r="AZ155" s="30"/>
      <c r="BA155" s="30"/>
    </row>
    <row r="156" spans="1:53" x14ac:dyDescent="0.3">
      <c r="A156" s="4" t="str">
        <f t="shared" si="12"/>
        <v>74X97M1000031</v>
      </c>
      <c r="B156" s="4" t="str">
        <f t="shared" si="13"/>
        <v>1-1</v>
      </c>
      <c r="C156" s="4">
        <v>2</v>
      </c>
      <c r="D156" s="4">
        <v>152</v>
      </c>
      <c r="E156" s="4" t="str" cm="1">
        <f t="array" ref="E156">_xlfn.XLOOKUP(A156&amp;B156&amp;$E$1&amp;"DPMB_SOCKET0__COMPUTE"&amp;C156&amp;"__CPU__CORE"&amp;Check!D156&amp;"__ML2_CR_MC3_STATUS"&amp;$B$1,core_mc[VisualId]&amp;core_mc[PPVRun_MC]&amp;core_mc[Lot]&amp;core_mc[TestNameWithoutNumeric],core_mc[TestValue],"")</f>
        <v/>
      </c>
      <c r="F156" s="4">
        <v>152</v>
      </c>
      <c r="G156" s="4" t="str" cm="1">
        <f t="array" ref="G156">_xlfn.XLOOKUP(A156&amp;B156&amp;$E$1&amp;"DPMB_SOCKET0__COMPUTE"&amp;C156&amp;"__UNCORE__CHA__CHA"&amp;Check!F156&amp;"__UTIL__MC_STATUS"&amp;$B$1,cha_mc[VisualId]&amp;cha_mc[PPVRun_MC]&amp;cha_mc[Lot]&amp;cha_mc[TestNameWithoutNumeric],cha_mc[TestValue],"")</f>
        <v/>
      </c>
      <c r="H156" s="4" t="str">
        <f t="shared" si="14"/>
        <v/>
      </c>
      <c r="AK156" s="4" t="str">
        <f t="shared" si="15"/>
        <v/>
      </c>
      <c r="AL156" s="4"/>
      <c r="AM156" s="4" t="str">
        <f t="shared" si="16"/>
        <v/>
      </c>
      <c r="AN156" s="4" t="str">
        <f>IFERROR(_xlfn.XLOOKUP(HEX2DEC(MID(AM156,LEN(AM156)-7,4)),mscod[MSCOD_BY_VAL],mscod[Description],""),"")</f>
        <v/>
      </c>
      <c r="AO156" s="4" t="str" cm="1">
        <f t="array" ref="AO156">_xlfn.XLOOKUP($K$1&amp;$Q$1&amp;"DPMB_SOCKET0__COMPUTE"&amp;AK156&amp;"__UNCORE__CHA__CHA"&amp;AL156&amp;"__UTIL__MC_ADDR"&amp;$B$1,cha_mc[VisualId]&amp;cha_mc[UnitTestingSeqKey]&amp;cha_mc[TestName],cha_mc[TestValue],"")</f>
        <v/>
      </c>
      <c r="AP156" s="4" t="str" cm="1">
        <f t="array" ref="AP156">_xlfn.XLOOKUP($K$1&amp;$Q$1&amp;"DPMB_SOCKET0__COMPUTE"&amp;AK156&amp;"__UNCORE__CHA__CHA"&amp;AL156&amp;"__UTIL__MC_MISC"&amp;$B$1,cha_mc[VisualId]&amp;cha_mc[UnitTestingSeqKey]&amp;cha_mc[TestName],cha_mc[TestValue],"")</f>
        <v/>
      </c>
      <c r="AQ156" s="30"/>
      <c r="AR156" s="30"/>
      <c r="AS156" s="30"/>
      <c r="AT156" s="30"/>
      <c r="AU156" s="30"/>
      <c r="AV156" s="4" t="str" cm="1">
        <f t="array" ref="AV156">_xlfn.XLOOKUP($K$1&amp;$Q$1&amp;"DPMB_SOCKET0__COMPUTE"&amp;AK156&amp;"__UNCORE__CHA__CHA"&amp;AL156&amp;"__UTIL__MC_MISC3"&amp;$B$1,cha_mc[VisualId]&amp;cha_mc[UnitTestingSeqKey]&amp;cha_mc[TestName],cha_mc[TestValue],"")</f>
        <v/>
      </c>
      <c r="AW156" s="30"/>
      <c r="AX156" s="30"/>
      <c r="AY156" s="30"/>
      <c r="AZ156" s="30"/>
      <c r="BA156" s="30"/>
    </row>
    <row r="157" spans="1:53" x14ac:dyDescent="0.3">
      <c r="A157" s="4" t="str">
        <f t="shared" si="12"/>
        <v>74X97M1000031</v>
      </c>
      <c r="B157" s="4" t="str">
        <f t="shared" si="13"/>
        <v>1-1</v>
      </c>
      <c r="C157" s="4">
        <v>2</v>
      </c>
      <c r="D157" s="4">
        <v>153</v>
      </c>
      <c r="E157" s="4" t="str" cm="1">
        <f t="array" ref="E157">_xlfn.XLOOKUP(A157&amp;B157&amp;$E$1&amp;"DPMB_SOCKET0__COMPUTE"&amp;C157&amp;"__CPU__CORE"&amp;Check!D157&amp;"__ML2_CR_MC3_STATUS"&amp;$B$1,core_mc[VisualId]&amp;core_mc[PPVRun_MC]&amp;core_mc[Lot]&amp;core_mc[TestNameWithoutNumeric],core_mc[TestValue],"")</f>
        <v/>
      </c>
      <c r="F157" s="4">
        <v>153</v>
      </c>
      <c r="G157" s="4" t="str" cm="1">
        <f t="array" ref="G157">_xlfn.XLOOKUP(A157&amp;B157&amp;$E$1&amp;"DPMB_SOCKET0__COMPUTE"&amp;C157&amp;"__UNCORE__CHA__CHA"&amp;Check!F157&amp;"__UTIL__MC_STATUS"&amp;$B$1,cha_mc[VisualId]&amp;cha_mc[PPVRun_MC]&amp;cha_mc[Lot]&amp;cha_mc[TestNameWithoutNumeric],cha_mc[TestValue],"")</f>
        <v/>
      </c>
      <c r="H157" s="4" t="str">
        <f t="shared" si="14"/>
        <v/>
      </c>
      <c r="AK157" s="4" t="str">
        <f t="shared" si="15"/>
        <v/>
      </c>
      <c r="AL157" s="4"/>
      <c r="AM157" s="4" t="str">
        <f t="shared" si="16"/>
        <v/>
      </c>
      <c r="AN157" s="4" t="str">
        <f>IFERROR(_xlfn.XLOOKUP(HEX2DEC(MID(AM157,LEN(AM157)-7,4)),mscod[MSCOD_BY_VAL],mscod[Description],""),"")</f>
        <v/>
      </c>
      <c r="AO157" s="4" t="str" cm="1">
        <f t="array" ref="AO157">_xlfn.XLOOKUP($K$1&amp;$Q$1&amp;"DPMB_SOCKET0__COMPUTE"&amp;AK157&amp;"__UNCORE__CHA__CHA"&amp;AL157&amp;"__UTIL__MC_ADDR"&amp;$B$1,cha_mc[VisualId]&amp;cha_mc[UnitTestingSeqKey]&amp;cha_mc[TestName],cha_mc[TestValue],"")</f>
        <v/>
      </c>
      <c r="AP157" s="4" t="str" cm="1">
        <f t="array" ref="AP157">_xlfn.XLOOKUP($K$1&amp;$Q$1&amp;"DPMB_SOCKET0__COMPUTE"&amp;AK157&amp;"__UNCORE__CHA__CHA"&amp;AL157&amp;"__UTIL__MC_MISC"&amp;$B$1,cha_mc[VisualId]&amp;cha_mc[UnitTestingSeqKey]&amp;cha_mc[TestName],cha_mc[TestValue],"")</f>
        <v/>
      </c>
      <c r="AQ157" s="30"/>
      <c r="AR157" s="30"/>
      <c r="AS157" s="30"/>
      <c r="AT157" s="30"/>
      <c r="AU157" s="30"/>
      <c r="AV157" s="4" t="str" cm="1">
        <f t="array" ref="AV157">_xlfn.XLOOKUP($K$1&amp;$Q$1&amp;"DPMB_SOCKET0__COMPUTE"&amp;AK157&amp;"__UNCORE__CHA__CHA"&amp;AL157&amp;"__UTIL__MC_MISC3"&amp;$B$1,cha_mc[VisualId]&amp;cha_mc[UnitTestingSeqKey]&amp;cha_mc[TestName],cha_mc[TestValue],"")</f>
        <v/>
      </c>
      <c r="AW157" s="30"/>
      <c r="AX157" s="30"/>
      <c r="AY157" s="30"/>
      <c r="AZ157" s="30"/>
      <c r="BA157" s="30"/>
    </row>
    <row r="158" spans="1:53" x14ac:dyDescent="0.3">
      <c r="A158" s="4" t="str">
        <f t="shared" si="12"/>
        <v>74X97M1000031</v>
      </c>
      <c r="B158" s="4" t="str">
        <f t="shared" si="13"/>
        <v>1-1</v>
      </c>
      <c r="C158" s="4">
        <v>2</v>
      </c>
      <c r="D158" s="4">
        <v>154</v>
      </c>
      <c r="E158" s="4" t="str" cm="1">
        <f t="array" ref="E158">_xlfn.XLOOKUP(A158&amp;B158&amp;$E$1&amp;"DPMB_SOCKET0__COMPUTE"&amp;C158&amp;"__CPU__CORE"&amp;Check!D158&amp;"__ML2_CR_MC3_STATUS"&amp;$B$1,core_mc[VisualId]&amp;core_mc[PPVRun_MC]&amp;core_mc[Lot]&amp;core_mc[TestNameWithoutNumeric],core_mc[TestValue],"")</f>
        <v/>
      </c>
      <c r="F158" s="4">
        <v>154</v>
      </c>
      <c r="G158" s="4" t="str" cm="1">
        <f t="array" ref="G158">_xlfn.XLOOKUP(A158&amp;B158&amp;$E$1&amp;"DPMB_SOCKET0__COMPUTE"&amp;C158&amp;"__UNCORE__CHA__CHA"&amp;Check!F158&amp;"__UTIL__MC_STATUS"&amp;$B$1,cha_mc[VisualId]&amp;cha_mc[PPVRun_MC]&amp;cha_mc[Lot]&amp;cha_mc[TestNameWithoutNumeric],cha_mc[TestValue],"")</f>
        <v/>
      </c>
      <c r="H158" s="4" t="str">
        <f t="shared" si="14"/>
        <v/>
      </c>
      <c r="AK158" s="4" t="str">
        <f t="shared" si="15"/>
        <v/>
      </c>
      <c r="AL158" s="4"/>
      <c r="AM158" s="4" t="str">
        <f t="shared" si="16"/>
        <v/>
      </c>
      <c r="AN158" s="4" t="str">
        <f>IFERROR(_xlfn.XLOOKUP(HEX2DEC(MID(AM158,LEN(AM158)-7,4)),mscod[MSCOD_BY_VAL],mscod[Description],""),"")</f>
        <v/>
      </c>
      <c r="AO158" s="4" t="str" cm="1">
        <f t="array" ref="AO158">_xlfn.XLOOKUP($K$1&amp;$Q$1&amp;"DPMB_SOCKET0__COMPUTE"&amp;AK158&amp;"__UNCORE__CHA__CHA"&amp;AL158&amp;"__UTIL__MC_ADDR"&amp;$B$1,cha_mc[VisualId]&amp;cha_mc[UnitTestingSeqKey]&amp;cha_mc[TestName],cha_mc[TestValue],"")</f>
        <v/>
      </c>
      <c r="AP158" s="4" t="str" cm="1">
        <f t="array" ref="AP158">_xlfn.XLOOKUP($K$1&amp;$Q$1&amp;"DPMB_SOCKET0__COMPUTE"&amp;AK158&amp;"__UNCORE__CHA__CHA"&amp;AL158&amp;"__UTIL__MC_MISC"&amp;$B$1,cha_mc[VisualId]&amp;cha_mc[UnitTestingSeqKey]&amp;cha_mc[TestName],cha_mc[TestValue],"")</f>
        <v/>
      </c>
      <c r="AQ158" s="30"/>
      <c r="AR158" s="30"/>
      <c r="AS158" s="30"/>
      <c r="AT158" s="30"/>
      <c r="AU158" s="30"/>
      <c r="AV158" s="4" t="str" cm="1">
        <f t="array" ref="AV158">_xlfn.XLOOKUP($K$1&amp;$Q$1&amp;"DPMB_SOCKET0__COMPUTE"&amp;AK158&amp;"__UNCORE__CHA__CHA"&amp;AL158&amp;"__UTIL__MC_MISC3"&amp;$B$1,cha_mc[VisualId]&amp;cha_mc[UnitTestingSeqKey]&amp;cha_mc[TestName],cha_mc[TestValue],"")</f>
        <v/>
      </c>
      <c r="AW158" s="30"/>
      <c r="AX158" s="30"/>
      <c r="AY158" s="30"/>
      <c r="AZ158" s="30"/>
      <c r="BA158" s="30"/>
    </row>
    <row r="159" spans="1:53" x14ac:dyDescent="0.3">
      <c r="A159" s="4" t="str">
        <f t="shared" si="12"/>
        <v>74X97M1000031</v>
      </c>
      <c r="B159" s="4" t="str">
        <f t="shared" si="13"/>
        <v>1-1</v>
      </c>
      <c r="C159" s="4">
        <v>2</v>
      </c>
      <c r="D159" s="4">
        <v>155</v>
      </c>
      <c r="E159" s="4" t="str" cm="1">
        <f t="array" ref="E159">_xlfn.XLOOKUP(A159&amp;B159&amp;$E$1&amp;"DPMB_SOCKET0__COMPUTE"&amp;C159&amp;"__CPU__CORE"&amp;Check!D159&amp;"__ML2_CR_MC3_STATUS"&amp;$B$1,core_mc[VisualId]&amp;core_mc[PPVRun_MC]&amp;core_mc[Lot]&amp;core_mc[TestNameWithoutNumeric],core_mc[TestValue],"")</f>
        <v/>
      </c>
      <c r="F159" s="4">
        <v>155</v>
      </c>
      <c r="G159" s="4" t="str" cm="1">
        <f t="array" ref="G159">_xlfn.XLOOKUP(A159&amp;B159&amp;$E$1&amp;"DPMB_SOCKET0__COMPUTE"&amp;C159&amp;"__UNCORE__CHA__CHA"&amp;Check!F159&amp;"__UTIL__MC_STATUS"&amp;$B$1,cha_mc[VisualId]&amp;cha_mc[PPVRun_MC]&amp;cha_mc[Lot]&amp;cha_mc[TestNameWithoutNumeric],cha_mc[TestValue],"")</f>
        <v/>
      </c>
      <c r="H159" s="4" t="str">
        <f t="shared" si="14"/>
        <v/>
      </c>
      <c r="AK159" s="4" t="str">
        <f t="shared" si="15"/>
        <v/>
      </c>
      <c r="AL159" s="4"/>
      <c r="AM159" s="4" t="str">
        <f t="shared" si="16"/>
        <v/>
      </c>
      <c r="AN159" s="4" t="str">
        <f>IFERROR(_xlfn.XLOOKUP(HEX2DEC(MID(AM159,LEN(AM159)-7,4)),mscod[MSCOD_BY_VAL],mscod[Description],""),"")</f>
        <v/>
      </c>
      <c r="AO159" s="4" t="str" cm="1">
        <f t="array" ref="AO159">_xlfn.XLOOKUP($K$1&amp;$Q$1&amp;"DPMB_SOCKET0__COMPUTE"&amp;AK159&amp;"__UNCORE__CHA__CHA"&amp;AL159&amp;"__UTIL__MC_ADDR"&amp;$B$1,cha_mc[VisualId]&amp;cha_mc[UnitTestingSeqKey]&amp;cha_mc[TestName],cha_mc[TestValue],"")</f>
        <v/>
      </c>
      <c r="AP159" s="4" t="str" cm="1">
        <f t="array" ref="AP159">_xlfn.XLOOKUP($K$1&amp;$Q$1&amp;"DPMB_SOCKET0__COMPUTE"&amp;AK159&amp;"__UNCORE__CHA__CHA"&amp;AL159&amp;"__UTIL__MC_MISC"&amp;$B$1,cha_mc[VisualId]&amp;cha_mc[UnitTestingSeqKey]&amp;cha_mc[TestName],cha_mc[TestValue],"")</f>
        <v/>
      </c>
      <c r="AQ159" s="30"/>
      <c r="AR159" s="30"/>
      <c r="AS159" s="30"/>
      <c r="AT159" s="30"/>
      <c r="AU159" s="30"/>
      <c r="AV159" s="4" t="str" cm="1">
        <f t="array" ref="AV159">_xlfn.XLOOKUP($K$1&amp;$Q$1&amp;"DPMB_SOCKET0__COMPUTE"&amp;AK159&amp;"__UNCORE__CHA__CHA"&amp;AL159&amp;"__UTIL__MC_MISC3"&amp;$B$1,cha_mc[VisualId]&amp;cha_mc[UnitTestingSeqKey]&amp;cha_mc[TestName],cha_mc[TestValue],"")</f>
        <v/>
      </c>
      <c r="AW159" s="30"/>
      <c r="AX159" s="30"/>
      <c r="AY159" s="30"/>
      <c r="AZ159" s="30"/>
      <c r="BA159" s="30"/>
    </row>
    <row r="160" spans="1:53" x14ac:dyDescent="0.3">
      <c r="A160" s="4" t="str">
        <f t="shared" si="12"/>
        <v>74X97M1000031</v>
      </c>
      <c r="B160" s="4" t="str">
        <f t="shared" si="13"/>
        <v>1-1</v>
      </c>
      <c r="C160" s="4">
        <v>2</v>
      </c>
      <c r="D160" s="4">
        <v>156</v>
      </c>
      <c r="E160" s="4" t="str" cm="1">
        <f t="array" ref="E160">_xlfn.XLOOKUP(A160&amp;B160&amp;$E$1&amp;"DPMB_SOCKET0__COMPUTE"&amp;C160&amp;"__CPU__CORE"&amp;Check!D160&amp;"__ML2_CR_MC3_STATUS"&amp;$B$1,core_mc[VisualId]&amp;core_mc[PPVRun_MC]&amp;core_mc[Lot]&amp;core_mc[TestNameWithoutNumeric],core_mc[TestValue],"")</f>
        <v/>
      </c>
      <c r="F160" s="4">
        <v>156</v>
      </c>
      <c r="G160" s="4" t="str" cm="1">
        <f t="array" ref="G160">_xlfn.XLOOKUP(A160&amp;B160&amp;$E$1&amp;"DPMB_SOCKET0__COMPUTE"&amp;C160&amp;"__UNCORE__CHA__CHA"&amp;Check!F160&amp;"__UTIL__MC_STATUS"&amp;$B$1,cha_mc[VisualId]&amp;cha_mc[PPVRun_MC]&amp;cha_mc[Lot]&amp;cha_mc[TestNameWithoutNumeric],cha_mc[TestValue],"")</f>
        <v/>
      </c>
      <c r="H160" s="4" t="str">
        <f t="shared" si="14"/>
        <v/>
      </c>
      <c r="AK160" s="4" t="str">
        <f t="shared" si="15"/>
        <v/>
      </c>
      <c r="AL160" s="4"/>
      <c r="AM160" s="4" t="str">
        <f t="shared" si="16"/>
        <v/>
      </c>
      <c r="AN160" s="4" t="str">
        <f>IFERROR(_xlfn.XLOOKUP(HEX2DEC(MID(AM160,LEN(AM160)-7,4)),mscod[MSCOD_BY_VAL],mscod[Description],""),"")</f>
        <v/>
      </c>
      <c r="AO160" s="4" t="str" cm="1">
        <f t="array" ref="AO160">_xlfn.XLOOKUP($K$1&amp;$Q$1&amp;"DPMB_SOCKET0__COMPUTE"&amp;AK160&amp;"__UNCORE__CHA__CHA"&amp;AL160&amp;"__UTIL__MC_ADDR"&amp;$B$1,cha_mc[VisualId]&amp;cha_mc[UnitTestingSeqKey]&amp;cha_mc[TestName],cha_mc[TestValue],"")</f>
        <v/>
      </c>
      <c r="AP160" s="4" t="str" cm="1">
        <f t="array" ref="AP160">_xlfn.XLOOKUP($K$1&amp;$Q$1&amp;"DPMB_SOCKET0__COMPUTE"&amp;AK160&amp;"__UNCORE__CHA__CHA"&amp;AL160&amp;"__UTIL__MC_MISC"&amp;$B$1,cha_mc[VisualId]&amp;cha_mc[UnitTestingSeqKey]&amp;cha_mc[TestName],cha_mc[TestValue],"")</f>
        <v/>
      </c>
      <c r="AQ160" s="30"/>
      <c r="AR160" s="30"/>
      <c r="AS160" s="30"/>
      <c r="AT160" s="30"/>
      <c r="AU160" s="30"/>
      <c r="AV160" s="4" t="str" cm="1">
        <f t="array" ref="AV160">_xlfn.XLOOKUP($K$1&amp;$Q$1&amp;"DPMB_SOCKET0__COMPUTE"&amp;AK160&amp;"__UNCORE__CHA__CHA"&amp;AL160&amp;"__UTIL__MC_MISC3"&amp;$B$1,cha_mc[VisualId]&amp;cha_mc[UnitTestingSeqKey]&amp;cha_mc[TestName],cha_mc[TestValue],"")</f>
        <v/>
      </c>
      <c r="AW160" s="30"/>
      <c r="AX160" s="30"/>
      <c r="AY160" s="30"/>
      <c r="AZ160" s="30"/>
      <c r="BA160" s="30"/>
    </row>
    <row r="161" spans="1:53" x14ac:dyDescent="0.3">
      <c r="A161" s="4" t="str">
        <f t="shared" si="12"/>
        <v>74X97M1000031</v>
      </c>
      <c r="B161" s="4" t="str">
        <f t="shared" si="13"/>
        <v>1-1</v>
      </c>
      <c r="C161" s="4">
        <v>2</v>
      </c>
      <c r="D161" s="4">
        <v>157</v>
      </c>
      <c r="E161" s="4" t="str" cm="1">
        <f t="array" ref="E161">_xlfn.XLOOKUP(A161&amp;B161&amp;$E$1&amp;"DPMB_SOCKET0__COMPUTE"&amp;C161&amp;"__CPU__CORE"&amp;Check!D161&amp;"__ML2_CR_MC3_STATUS"&amp;$B$1,core_mc[VisualId]&amp;core_mc[PPVRun_MC]&amp;core_mc[Lot]&amp;core_mc[TestNameWithoutNumeric],core_mc[TestValue],"")</f>
        <v/>
      </c>
      <c r="F161" s="4">
        <v>157</v>
      </c>
      <c r="G161" s="4" t="str" cm="1">
        <f t="array" ref="G161">_xlfn.XLOOKUP(A161&amp;B161&amp;$E$1&amp;"DPMB_SOCKET0__COMPUTE"&amp;C161&amp;"__UNCORE__CHA__CHA"&amp;Check!F161&amp;"__UTIL__MC_STATUS"&amp;$B$1,cha_mc[VisualId]&amp;cha_mc[PPVRun_MC]&amp;cha_mc[Lot]&amp;cha_mc[TestNameWithoutNumeric],cha_mc[TestValue],"")</f>
        <v/>
      </c>
      <c r="H161" s="4" t="str">
        <f t="shared" si="14"/>
        <v/>
      </c>
      <c r="AK161" s="4" t="str">
        <f t="shared" si="15"/>
        <v/>
      </c>
      <c r="AL161" s="4"/>
      <c r="AM161" s="4" t="str">
        <f t="shared" si="16"/>
        <v/>
      </c>
      <c r="AN161" s="4" t="str">
        <f>IFERROR(_xlfn.XLOOKUP(HEX2DEC(MID(AM161,LEN(AM161)-7,4)),mscod[MSCOD_BY_VAL],mscod[Description],""),"")</f>
        <v/>
      </c>
      <c r="AO161" s="4" t="str" cm="1">
        <f t="array" ref="AO161">_xlfn.XLOOKUP($K$1&amp;$Q$1&amp;"DPMB_SOCKET0__COMPUTE"&amp;AK161&amp;"__UNCORE__CHA__CHA"&amp;AL161&amp;"__UTIL__MC_ADDR"&amp;$B$1,cha_mc[VisualId]&amp;cha_mc[UnitTestingSeqKey]&amp;cha_mc[TestName],cha_mc[TestValue],"")</f>
        <v/>
      </c>
      <c r="AP161" s="4" t="str" cm="1">
        <f t="array" ref="AP161">_xlfn.XLOOKUP($K$1&amp;$Q$1&amp;"DPMB_SOCKET0__COMPUTE"&amp;AK161&amp;"__UNCORE__CHA__CHA"&amp;AL161&amp;"__UTIL__MC_MISC"&amp;$B$1,cha_mc[VisualId]&amp;cha_mc[UnitTestingSeqKey]&amp;cha_mc[TestName],cha_mc[TestValue],"")</f>
        <v/>
      </c>
      <c r="AQ161" s="30"/>
      <c r="AR161" s="30"/>
      <c r="AS161" s="30"/>
      <c r="AT161" s="30"/>
      <c r="AU161" s="30"/>
      <c r="AV161" s="4" t="str" cm="1">
        <f t="array" ref="AV161">_xlfn.XLOOKUP($K$1&amp;$Q$1&amp;"DPMB_SOCKET0__COMPUTE"&amp;AK161&amp;"__UNCORE__CHA__CHA"&amp;AL161&amp;"__UTIL__MC_MISC3"&amp;$B$1,cha_mc[VisualId]&amp;cha_mc[UnitTestingSeqKey]&amp;cha_mc[TestName],cha_mc[TestValue],"")</f>
        <v/>
      </c>
      <c r="AW161" s="30"/>
      <c r="AX161" s="30"/>
      <c r="AY161" s="30"/>
      <c r="AZ161" s="30"/>
      <c r="BA161" s="30"/>
    </row>
    <row r="162" spans="1:53" x14ac:dyDescent="0.3">
      <c r="A162" s="4" t="str">
        <f t="shared" si="12"/>
        <v>74X97M1000031</v>
      </c>
      <c r="B162" s="4" t="str">
        <f t="shared" si="13"/>
        <v>1-1</v>
      </c>
      <c r="C162" s="4">
        <v>2</v>
      </c>
      <c r="D162" s="4">
        <v>158</v>
      </c>
      <c r="E162" s="4" t="str" cm="1">
        <f t="array" ref="E162">_xlfn.XLOOKUP(A162&amp;B162&amp;$E$1&amp;"DPMB_SOCKET0__COMPUTE"&amp;C162&amp;"__CPU__CORE"&amp;Check!D162&amp;"__ML2_CR_MC3_STATUS"&amp;$B$1,core_mc[VisualId]&amp;core_mc[PPVRun_MC]&amp;core_mc[Lot]&amp;core_mc[TestNameWithoutNumeric],core_mc[TestValue],"")</f>
        <v/>
      </c>
      <c r="F162" s="4">
        <v>158</v>
      </c>
      <c r="G162" s="4" t="str" cm="1">
        <f t="array" ref="G162">_xlfn.XLOOKUP(A162&amp;B162&amp;$E$1&amp;"DPMB_SOCKET0__COMPUTE"&amp;C162&amp;"__UNCORE__CHA__CHA"&amp;Check!F162&amp;"__UTIL__MC_STATUS"&amp;$B$1,cha_mc[VisualId]&amp;cha_mc[PPVRun_MC]&amp;cha_mc[Lot]&amp;cha_mc[TestNameWithoutNumeric],cha_mc[TestValue],"")</f>
        <v/>
      </c>
      <c r="H162" s="4" t="str">
        <f t="shared" si="14"/>
        <v/>
      </c>
      <c r="AK162" s="4" t="str">
        <f t="shared" si="15"/>
        <v/>
      </c>
      <c r="AL162" s="4"/>
      <c r="AM162" s="4" t="str">
        <f t="shared" si="16"/>
        <v/>
      </c>
      <c r="AN162" s="4" t="str">
        <f>IFERROR(_xlfn.XLOOKUP(HEX2DEC(MID(AM162,LEN(AM162)-7,4)),mscod[MSCOD_BY_VAL],mscod[Description],""),"")</f>
        <v/>
      </c>
      <c r="AO162" s="4" t="str" cm="1">
        <f t="array" ref="AO162">_xlfn.XLOOKUP($K$1&amp;$Q$1&amp;"DPMB_SOCKET0__COMPUTE"&amp;AK162&amp;"__UNCORE__CHA__CHA"&amp;AL162&amp;"__UTIL__MC_ADDR"&amp;$B$1,cha_mc[VisualId]&amp;cha_mc[UnitTestingSeqKey]&amp;cha_mc[TestName],cha_mc[TestValue],"")</f>
        <v/>
      </c>
      <c r="AP162" s="4" t="str" cm="1">
        <f t="array" ref="AP162">_xlfn.XLOOKUP($K$1&amp;$Q$1&amp;"DPMB_SOCKET0__COMPUTE"&amp;AK162&amp;"__UNCORE__CHA__CHA"&amp;AL162&amp;"__UTIL__MC_MISC"&amp;$B$1,cha_mc[VisualId]&amp;cha_mc[UnitTestingSeqKey]&amp;cha_mc[TestName],cha_mc[TestValue],"")</f>
        <v/>
      </c>
      <c r="AQ162" s="30"/>
      <c r="AR162" s="30"/>
      <c r="AS162" s="30"/>
      <c r="AT162" s="30"/>
      <c r="AU162" s="30"/>
      <c r="AV162" s="4" t="str" cm="1">
        <f t="array" ref="AV162">_xlfn.XLOOKUP($K$1&amp;$Q$1&amp;"DPMB_SOCKET0__COMPUTE"&amp;AK162&amp;"__UNCORE__CHA__CHA"&amp;AL162&amp;"__UTIL__MC_MISC3"&amp;$B$1,cha_mc[VisualId]&amp;cha_mc[UnitTestingSeqKey]&amp;cha_mc[TestName],cha_mc[TestValue],"")</f>
        <v/>
      </c>
      <c r="AW162" s="30"/>
      <c r="AX162" s="30"/>
      <c r="AY162" s="30"/>
      <c r="AZ162" s="30"/>
      <c r="BA162" s="30"/>
    </row>
    <row r="163" spans="1:53" x14ac:dyDescent="0.3">
      <c r="A163" s="4" t="str">
        <f t="shared" si="12"/>
        <v>74X97M1000031</v>
      </c>
      <c r="B163" s="4" t="str">
        <f t="shared" si="13"/>
        <v>1-1</v>
      </c>
      <c r="C163" s="4">
        <v>2</v>
      </c>
      <c r="D163" s="4">
        <v>159</v>
      </c>
      <c r="E163" s="4" t="str" cm="1">
        <f t="array" ref="E163">_xlfn.XLOOKUP(A163&amp;B163&amp;$E$1&amp;"DPMB_SOCKET0__COMPUTE"&amp;C163&amp;"__CPU__CORE"&amp;Check!D163&amp;"__ML2_CR_MC3_STATUS"&amp;$B$1,core_mc[VisualId]&amp;core_mc[PPVRun_MC]&amp;core_mc[Lot]&amp;core_mc[TestNameWithoutNumeric],core_mc[TestValue],"")</f>
        <v/>
      </c>
      <c r="F163" s="4">
        <v>159</v>
      </c>
      <c r="G163" s="4" t="str" cm="1">
        <f t="array" ref="G163">_xlfn.XLOOKUP(A163&amp;B163&amp;$E$1&amp;"DPMB_SOCKET0__COMPUTE"&amp;C163&amp;"__UNCORE__CHA__CHA"&amp;Check!F163&amp;"__UTIL__MC_STATUS"&amp;$B$1,cha_mc[VisualId]&amp;cha_mc[PPVRun_MC]&amp;cha_mc[Lot]&amp;cha_mc[TestNameWithoutNumeric],cha_mc[TestValue],"")</f>
        <v/>
      </c>
      <c r="H163" s="4" t="str">
        <f t="shared" si="14"/>
        <v/>
      </c>
      <c r="AK163" s="4" t="str">
        <f t="shared" si="15"/>
        <v/>
      </c>
      <c r="AL163" s="4"/>
      <c r="AM163" s="4" t="str">
        <f t="shared" si="16"/>
        <v/>
      </c>
      <c r="AN163" s="4" t="str">
        <f>IFERROR(_xlfn.XLOOKUP(HEX2DEC(MID(AM163,LEN(AM163)-7,4)),mscod[MSCOD_BY_VAL],mscod[Description],""),"")</f>
        <v/>
      </c>
      <c r="AO163" s="4" t="str" cm="1">
        <f t="array" ref="AO163">_xlfn.XLOOKUP($K$1&amp;$Q$1&amp;"DPMB_SOCKET0__COMPUTE"&amp;AK163&amp;"__UNCORE__CHA__CHA"&amp;AL163&amp;"__UTIL__MC_ADDR"&amp;$B$1,cha_mc[VisualId]&amp;cha_mc[UnitTestingSeqKey]&amp;cha_mc[TestName],cha_mc[TestValue],"")</f>
        <v/>
      </c>
      <c r="AP163" s="4" t="str" cm="1">
        <f t="array" ref="AP163">_xlfn.XLOOKUP($K$1&amp;$Q$1&amp;"DPMB_SOCKET0__COMPUTE"&amp;AK163&amp;"__UNCORE__CHA__CHA"&amp;AL163&amp;"__UTIL__MC_MISC"&amp;$B$1,cha_mc[VisualId]&amp;cha_mc[UnitTestingSeqKey]&amp;cha_mc[TestName],cha_mc[TestValue],"")</f>
        <v/>
      </c>
      <c r="AQ163" s="30"/>
      <c r="AR163" s="30"/>
      <c r="AS163" s="30"/>
      <c r="AT163" s="30"/>
      <c r="AU163" s="30"/>
      <c r="AV163" s="4" t="str" cm="1">
        <f t="array" ref="AV163">_xlfn.XLOOKUP($K$1&amp;$Q$1&amp;"DPMB_SOCKET0__COMPUTE"&amp;AK163&amp;"__UNCORE__CHA__CHA"&amp;AL163&amp;"__UTIL__MC_MISC3"&amp;$B$1,cha_mc[VisualId]&amp;cha_mc[UnitTestingSeqKey]&amp;cha_mc[TestName],cha_mc[TestValue],"")</f>
        <v/>
      </c>
      <c r="AW163" s="30"/>
      <c r="AX163" s="30"/>
      <c r="AY163" s="30"/>
      <c r="AZ163" s="30"/>
      <c r="BA163" s="30"/>
    </row>
    <row r="164" spans="1:53" x14ac:dyDescent="0.3">
      <c r="A164" s="4" t="str">
        <f t="shared" ref="A164:A183" si="17">$K$1</f>
        <v>74X97M1000031</v>
      </c>
      <c r="B164" s="4" t="str">
        <f t="shared" si="13"/>
        <v>1-1</v>
      </c>
      <c r="C164" s="4">
        <v>2</v>
      </c>
      <c r="D164" s="4">
        <v>160</v>
      </c>
      <c r="E164" s="4" t="str" cm="1">
        <f t="array" ref="E164">_xlfn.XLOOKUP(A164&amp;B164&amp;$E$1&amp;"DPMB_SOCKET0__COMPUTE"&amp;C164&amp;"__CPU__CORE"&amp;Check!D164&amp;"__ML2_CR_MC3_STATUS"&amp;$B$1,core_mc[VisualId]&amp;core_mc[PPVRun_MC]&amp;core_mc[Lot]&amp;core_mc[TestNameWithoutNumeric],core_mc[TestValue],"")</f>
        <v/>
      </c>
      <c r="F164" s="4">
        <v>160</v>
      </c>
      <c r="G164" s="4" t="str" cm="1">
        <f t="array" ref="G164">_xlfn.XLOOKUP(A164&amp;B164&amp;$E$1&amp;"DPMB_SOCKET0__COMPUTE"&amp;C164&amp;"__UNCORE__CHA__CHA"&amp;Check!F164&amp;"__UTIL__MC_STATUS"&amp;$B$1,cha_mc[VisualId]&amp;cha_mc[PPVRun_MC]&amp;cha_mc[Lot]&amp;cha_mc[TestNameWithoutNumeric],cha_mc[TestValue],"")</f>
        <v/>
      </c>
      <c r="H164" s="4" t="str">
        <f t="shared" si="14"/>
        <v/>
      </c>
      <c r="AK164" s="4" t="str">
        <f t="shared" si="15"/>
        <v/>
      </c>
      <c r="AL164" s="4"/>
      <c r="AM164" s="4" t="str">
        <f t="shared" si="16"/>
        <v/>
      </c>
      <c r="AN164" s="4" t="str">
        <f>IFERROR(_xlfn.XLOOKUP(HEX2DEC(MID(AM164,LEN(AM164)-7,4)),mscod[MSCOD_BY_VAL],mscod[Description],""),"")</f>
        <v/>
      </c>
      <c r="AO164" s="4" t="str" cm="1">
        <f t="array" ref="AO164">_xlfn.XLOOKUP($K$1&amp;$Q$1&amp;"DPMB_SOCKET0__COMPUTE"&amp;AK164&amp;"__UNCORE__CHA__CHA"&amp;AL164&amp;"__UTIL__MC_ADDR"&amp;$B$1,cha_mc[VisualId]&amp;cha_mc[UnitTestingSeqKey]&amp;cha_mc[TestName],cha_mc[TestValue],"")</f>
        <v/>
      </c>
      <c r="AP164" s="4" t="str" cm="1">
        <f t="array" ref="AP164">_xlfn.XLOOKUP($K$1&amp;$Q$1&amp;"DPMB_SOCKET0__COMPUTE"&amp;AK164&amp;"__UNCORE__CHA__CHA"&amp;AL164&amp;"__UTIL__MC_MISC"&amp;$B$1,cha_mc[VisualId]&amp;cha_mc[UnitTestingSeqKey]&amp;cha_mc[TestName],cha_mc[TestValue],"")</f>
        <v/>
      </c>
      <c r="AQ164" s="30"/>
      <c r="AR164" s="30"/>
      <c r="AS164" s="30"/>
      <c r="AT164" s="30"/>
      <c r="AU164" s="30"/>
      <c r="AV164" s="4" t="str" cm="1">
        <f t="array" ref="AV164">_xlfn.XLOOKUP($K$1&amp;$Q$1&amp;"DPMB_SOCKET0__COMPUTE"&amp;AK164&amp;"__UNCORE__CHA__CHA"&amp;AL164&amp;"__UTIL__MC_MISC3"&amp;$B$1,cha_mc[VisualId]&amp;cha_mc[UnitTestingSeqKey]&amp;cha_mc[TestName],cha_mc[TestValue],"")</f>
        <v/>
      </c>
      <c r="AW164" s="30"/>
      <c r="AX164" s="30"/>
      <c r="AY164" s="30"/>
      <c r="AZ164" s="30"/>
      <c r="BA164" s="30"/>
    </row>
    <row r="165" spans="1:53" x14ac:dyDescent="0.3">
      <c r="A165" s="4" t="str">
        <f t="shared" si="17"/>
        <v>74X97M1000031</v>
      </c>
      <c r="B165" s="4" t="str">
        <f t="shared" si="13"/>
        <v>1-1</v>
      </c>
      <c r="C165" s="4">
        <v>2</v>
      </c>
      <c r="D165" s="4">
        <v>161</v>
      </c>
      <c r="E165" s="4" t="str" cm="1">
        <f t="array" ref="E165">_xlfn.XLOOKUP(A165&amp;B165&amp;$E$1&amp;"DPMB_SOCKET0__COMPUTE"&amp;C165&amp;"__CPU__CORE"&amp;Check!D165&amp;"__ML2_CR_MC3_STATUS"&amp;$B$1,core_mc[VisualId]&amp;core_mc[PPVRun_MC]&amp;core_mc[Lot]&amp;core_mc[TestNameWithoutNumeric],core_mc[TestValue],"")</f>
        <v/>
      </c>
      <c r="F165" s="4">
        <v>161</v>
      </c>
      <c r="G165" s="4" t="str" cm="1">
        <f t="array" ref="G165">_xlfn.XLOOKUP(A165&amp;B165&amp;$E$1&amp;"DPMB_SOCKET0__COMPUTE"&amp;C165&amp;"__UNCORE__CHA__CHA"&amp;Check!F165&amp;"__UTIL__MC_STATUS"&amp;$B$1,cha_mc[VisualId]&amp;cha_mc[PPVRun_MC]&amp;cha_mc[Lot]&amp;cha_mc[TestNameWithoutNumeric],cha_mc[TestValue],"")</f>
        <v/>
      </c>
      <c r="H165" s="4" t="str">
        <f t="shared" si="14"/>
        <v/>
      </c>
      <c r="AK165" s="4" t="str">
        <f t="shared" si="15"/>
        <v/>
      </c>
      <c r="AL165" s="4"/>
      <c r="AM165" s="4" t="str">
        <f t="shared" si="16"/>
        <v/>
      </c>
      <c r="AN165" s="4" t="str">
        <f>IFERROR(_xlfn.XLOOKUP(HEX2DEC(MID(AM165,LEN(AM165)-7,4)),mscod[MSCOD_BY_VAL],mscod[Description],""),"")</f>
        <v/>
      </c>
      <c r="AO165" s="4" t="str" cm="1">
        <f t="array" ref="AO165">_xlfn.XLOOKUP($K$1&amp;$Q$1&amp;"DPMB_SOCKET0__COMPUTE"&amp;AK165&amp;"__UNCORE__CHA__CHA"&amp;AL165&amp;"__UTIL__MC_ADDR"&amp;$B$1,cha_mc[VisualId]&amp;cha_mc[UnitTestingSeqKey]&amp;cha_mc[TestName],cha_mc[TestValue],"")</f>
        <v/>
      </c>
      <c r="AP165" s="4" t="str" cm="1">
        <f t="array" ref="AP165">_xlfn.XLOOKUP($K$1&amp;$Q$1&amp;"DPMB_SOCKET0__COMPUTE"&amp;AK165&amp;"__UNCORE__CHA__CHA"&amp;AL165&amp;"__UTIL__MC_MISC"&amp;$B$1,cha_mc[VisualId]&amp;cha_mc[UnitTestingSeqKey]&amp;cha_mc[TestName],cha_mc[TestValue],"")</f>
        <v/>
      </c>
      <c r="AQ165" s="30"/>
      <c r="AR165" s="30"/>
      <c r="AS165" s="30"/>
      <c r="AT165" s="30"/>
      <c r="AU165" s="30"/>
      <c r="AV165" s="4" t="str" cm="1">
        <f t="array" ref="AV165">_xlfn.XLOOKUP($K$1&amp;$Q$1&amp;"DPMB_SOCKET0__COMPUTE"&amp;AK165&amp;"__UNCORE__CHA__CHA"&amp;AL165&amp;"__UTIL__MC_MISC3"&amp;$B$1,cha_mc[VisualId]&amp;cha_mc[UnitTestingSeqKey]&amp;cha_mc[TestName],cha_mc[TestValue],"")</f>
        <v/>
      </c>
      <c r="AW165" s="30"/>
      <c r="AX165" s="30"/>
      <c r="AY165" s="30"/>
      <c r="AZ165" s="30"/>
      <c r="BA165" s="30"/>
    </row>
    <row r="166" spans="1:53" x14ac:dyDescent="0.3">
      <c r="A166" s="4" t="str">
        <f t="shared" si="17"/>
        <v>74X97M1000031</v>
      </c>
      <c r="B166" s="4" t="str">
        <f t="shared" si="13"/>
        <v>1-1</v>
      </c>
      <c r="C166" s="4">
        <v>2</v>
      </c>
      <c r="D166" s="4">
        <v>162</v>
      </c>
      <c r="E166" s="4" t="str" cm="1">
        <f t="array" ref="E166">_xlfn.XLOOKUP(A166&amp;B166&amp;$E$1&amp;"DPMB_SOCKET0__COMPUTE"&amp;C166&amp;"__CPU__CORE"&amp;Check!D166&amp;"__ML2_CR_MC3_STATUS"&amp;$B$1,core_mc[VisualId]&amp;core_mc[PPVRun_MC]&amp;core_mc[Lot]&amp;core_mc[TestNameWithoutNumeric],core_mc[TestValue],"")</f>
        <v/>
      </c>
      <c r="F166" s="4">
        <v>162</v>
      </c>
      <c r="G166" s="4" t="str" cm="1">
        <f t="array" ref="G166">_xlfn.XLOOKUP(A166&amp;B166&amp;$E$1&amp;"DPMB_SOCKET0__COMPUTE"&amp;C166&amp;"__UNCORE__CHA__CHA"&amp;Check!F166&amp;"__UTIL__MC_STATUS"&amp;$B$1,cha_mc[VisualId]&amp;cha_mc[PPVRun_MC]&amp;cha_mc[Lot]&amp;cha_mc[TestNameWithoutNumeric],cha_mc[TestValue],"")</f>
        <v/>
      </c>
      <c r="H166" s="4" t="str">
        <f t="shared" si="14"/>
        <v/>
      </c>
      <c r="AK166" s="4" t="str">
        <f t="shared" si="15"/>
        <v/>
      </c>
      <c r="AL166" s="4"/>
      <c r="AM166" s="4" t="str">
        <f t="shared" si="16"/>
        <v/>
      </c>
      <c r="AN166" s="4" t="str">
        <f>IFERROR(_xlfn.XLOOKUP(HEX2DEC(MID(AM166,LEN(AM166)-7,4)),mscod[MSCOD_BY_VAL],mscod[Description],""),"")</f>
        <v/>
      </c>
      <c r="AO166" s="4" t="str" cm="1">
        <f t="array" ref="AO166">_xlfn.XLOOKUP($K$1&amp;$Q$1&amp;"DPMB_SOCKET0__COMPUTE"&amp;AK166&amp;"__UNCORE__CHA__CHA"&amp;AL166&amp;"__UTIL__MC_ADDR"&amp;$B$1,cha_mc[VisualId]&amp;cha_mc[UnitTestingSeqKey]&amp;cha_mc[TestName],cha_mc[TestValue],"")</f>
        <v/>
      </c>
      <c r="AP166" s="4" t="str" cm="1">
        <f t="array" ref="AP166">_xlfn.XLOOKUP($K$1&amp;$Q$1&amp;"DPMB_SOCKET0__COMPUTE"&amp;AK166&amp;"__UNCORE__CHA__CHA"&amp;AL166&amp;"__UTIL__MC_MISC"&amp;$B$1,cha_mc[VisualId]&amp;cha_mc[UnitTestingSeqKey]&amp;cha_mc[TestName],cha_mc[TestValue],"")</f>
        <v/>
      </c>
      <c r="AQ166" s="30"/>
      <c r="AR166" s="30"/>
      <c r="AS166" s="30"/>
      <c r="AT166" s="30"/>
      <c r="AU166" s="30"/>
      <c r="AV166" s="4" t="str" cm="1">
        <f t="array" ref="AV166">_xlfn.XLOOKUP($K$1&amp;$Q$1&amp;"DPMB_SOCKET0__COMPUTE"&amp;AK166&amp;"__UNCORE__CHA__CHA"&amp;AL166&amp;"__UTIL__MC_MISC3"&amp;$B$1,cha_mc[VisualId]&amp;cha_mc[UnitTestingSeqKey]&amp;cha_mc[TestName],cha_mc[TestValue],"")</f>
        <v/>
      </c>
      <c r="AW166" s="30"/>
      <c r="AX166" s="30"/>
      <c r="AY166" s="30"/>
      <c r="AZ166" s="30"/>
      <c r="BA166" s="30"/>
    </row>
    <row r="167" spans="1:53" x14ac:dyDescent="0.3">
      <c r="A167" s="4" t="str">
        <f t="shared" si="17"/>
        <v>74X97M1000031</v>
      </c>
      <c r="B167" s="4" t="str">
        <f t="shared" si="13"/>
        <v>1-1</v>
      </c>
      <c r="C167" s="4">
        <v>2</v>
      </c>
      <c r="D167" s="4">
        <v>163</v>
      </c>
      <c r="E167" s="4" t="str" cm="1">
        <f t="array" ref="E167">_xlfn.XLOOKUP(A167&amp;B167&amp;$E$1&amp;"DPMB_SOCKET0__COMPUTE"&amp;C167&amp;"__CPU__CORE"&amp;Check!D167&amp;"__ML2_CR_MC3_STATUS"&amp;$B$1,core_mc[VisualId]&amp;core_mc[PPVRun_MC]&amp;core_mc[Lot]&amp;core_mc[TestNameWithoutNumeric],core_mc[TestValue],"")</f>
        <v/>
      </c>
      <c r="F167" s="4">
        <v>163</v>
      </c>
      <c r="G167" s="4" t="str" cm="1">
        <f t="array" ref="G167">_xlfn.XLOOKUP(A167&amp;B167&amp;$E$1&amp;"DPMB_SOCKET0__COMPUTE"&amp;C167&amp;"__UNCORE__CHA__CHA"&amp;Check!F167&amp;"__UTIL__MC_STATUS"&amp;$B$1,cha_mc[VisualId]&amp;cha_mc[PPVRun_MC]&amp;cha_mc[Lot]&amp;cha_mc[TestNameWithoutNumeric],cha_mc[TestValue],"")</f>
        <v/>
      </c>
      <c r="H167" s="4" t="str">
        <f t="shared" si="14"/>
        <v/>
      </c>
      <c r="AK167" s="4" t="str">
        <f t="shared" si="15"/>
        <v/>
      </c>
      <c r="AL167" s="4"/>
      <c r="AM167" s="4" t="str">
        <f t="shared" si="16"/>
        <v/>
      </c>
      <c r="AN167" s="4" t="str">
        <f>IFERROR(_xlfn.XLOOKUP(HEX2DEC(MID(AM167,LEN(AM167)-7,4)),mscod[MSCOD_BY_VAL],mscod[Description],""),"")</f>
        <v/>
      </c>
      <c r="AO167" s="4" t="str" cm="1">
        <f t="array" ref="AO167">_xlfn.XLOOKUP($K$1&amp;$Q$1&amp;"DPMB_SOCKET0__COMPUTE"&amp;AK167&amp;"__UNCORE__CHA__CHA"&amp;AL167&amp;"__UTIL__MC_ADDR"&amp;$B$1,cha_mc[VisualId]&amp;cha_mc[UnitTestingSeqKey]&amp;cha_mc[TestName],cha_mc[TestValue],"")</f>
        <v/>
      </c>
      <c r="AP167" s="4" t="str" cm="1">
        <f t="array" ref="AP167">_xlfn.XLOOKUP($K$1&amp;$Q$1&amp;"DPMB_SOCKET0__COMPUTE"&amp;AK167&amp;"__UNCORE__CHA__CHA"&amp;AL167&amp;"__UTIL__MC_MISC"&amp;$B$1,cha_mc[VisualId]&amp;cha_mc[UnitTestingSeqKey]&amp;cha_mc[TestName],cha_mc[TestValue],"")</f>
        <v/>
      </c>
      <c r="AQ167" s="30"/>
      <c r="AR167" s="30"/>
      <c r="AS167" s="30"/>
      <c r="AT167" s="30"/>
      <c r="AU167" s="30"/>
      <c r="AV167" s="4" t="str" cm="1">
        <f t="array" ref="AV167">_xlfn.XLOOKUP($K$1&amp;$Q$1&amp;"DPMB_SOCKET0__COMPUTE"&amp;AK167&amp;"__UNCORE__CHA__CHA"&amp;AL167&amp;"__UTIL__MC_MISC3"&amp;$B$1,cha_mc[VisualId]&amp;cha_mc[UnitTestingSeqKey]&amp;cha_mc[TestName],cha_mc[TestValue],"")</f>
        <v/>
      </c>
      <c r="AW167" s="30"/>
      <c r="AX167" s="30"/>
      <c r="AY167" s="30"/>
      <c r="AZ167" s="30"/>
      <c r="BA167" s="30"/>
    </row>
    <row r="168" spans="1:53" x14ac:dyDescent="0.3">
      <c r="A168" s="4" t="str">
        <f t="shared" si="17"/>
        <v>74X97M1000031</v>
      </c>
      <c r="B168" s="4" t="str">
        <f t="shared" si="13"/>
        <v>1-1</v>
      </c>
      <c r="C168" s="4">
        <v>2</v>
      </c>
      <c r="D168" s="4">
        <v>164</v>
      </c>
      <c r="E168" s="4" t="str" cm="1">
        <f t="array" ref="E168">_xlfn.XLOOKUP(A168&amp;B168&amp;$E$1&amp;"DPMB_SOCKET0__COMPUTE"&amp;C168&amp;"__CPU__CORE"&amp;Check!D168&amp;"__ML2_CR_MC3_STATUS"&amp;$B$1,core_mc[VisualId]&amp;core_mc[PPVRun_MC]&amp;core_mc[Lot]&amp;core_mc[TestNameWithoutNumeric],core_mc[TestValue],"")</f>
        <v/>
      </c>
      <c r="F168" s="4">
        <v>164</v>
      </c>
      <c r="G168" s="4" t="str" cm="1">
        <f t="array" ref="G168">_xlfn.XLOOKUP(A168&amp;B168&amp;$E$1&amp;"DPMB_SOCKET0__COMPUTE"&amp;C168&amp;"__UNCORE__CHA__CHA"&amp;Check!F168&amp;"__UTIL__MC_STATUS"&amp;$B$1,cha_mc[VisualId]&amp;cha_mc[PPVRun_MC]&amp;cha_mc[Lot]&amp;cha_mc[TestNameWithoutNumeric],cha_mc[TestValue],"")</f>
        <v/>
      </c>
      <c r="H168" s="4" t="str">
        <f t="shared" si="14"/>
        <v/>
      </c>
      <c r="AK168" s="4" t="str">
        <f t="shared" si="15"/>
        <v/>
      </c>
      <c r="AL168" s="4"/>
      <c r="AM168" s="4" t="str">
        <f t="shared" si="16"/>
        <v/>
      </c>
      <c r="AN168" s="4" t="str">
        <f>IFERROR(_xlfn.XLOOKUP(HEX2DEC(MID(AM168,LEN(AM168)-7,4)),mscod[MSCOD_BY_VAL],mscod[Description],""),"")</f>
        <v/>
      </c>
      <c r="AO168" s="4" t="str" cm="1">
        <f t="array" ref="AO168">_xlfn.XLOOKUP($K$1&amp;$Q$1&amp;"DPMB_SOCKET0__COMPUTE"&amp;AK168&amp;"__UNCORE__CHA__CHA"&amp;AL168&amp;"__UTIL__MC_ADDR"&amp;$B$1,cha_mc[VisualId]&amp;cha_mc[UnitTestingSeqKey]&amp;cha_mc[TestName],cha_mc[TestValue],"")</f>
        <v/>
      </c>
      <c r="AP168" s="4" t="str" cm="1">
        <f t="array" ref="AP168">_xlfn.XLOOKUP($K$1&amp;$Q$1&amp;"DPMB_SOCKET0__COMPUTE"&amp;AK168&amp;"__UNCORE__CHA__CHA"&amp;AL168&amp;"__UTIL__MC_MISC"&amp;$B$1,cha_mc[VisualId]&amp;cha_mc[UnitTestingSeqKey]&amp;cha_mc[TestName],cha_mc[TestValue],"")</f>
        <v/>
      </c>
      <c r="AQ168" s="30"/>
      <c r="AR168" s="30"/>
      <c r="AS168" s="30"/>
      <c r="AT168" s="30"/>
      <c r="AU168" s="30"/>
      <c r="AV168" s="4" t="str" cm="1">
        <f t="array" ref="AV168">_xlfn.XLOOKUP($K$1&amp;$Q$1&amp;"DPMB_SOCKET0__COMPUTE"&amp;AK168&amp;"__UNCORE__CHA__CHA"&amp;AL168&amp;"__UTIL__MC_MISC3"&amp;$B$1,cha_mc[VisualId]&amp;cha_mc[UnitTestingSeqKey]&amp;cha_mc[TestName],cha_mc[TestValue],"")</f>
        <v/>
      </c>
      <c r="AW168" s="30"/>
      <c r="AX168" s="30"/>
      <c r="AY168" s="30"/>
      <c r="AZ168" s="30"/>
      <c r="BA168" s="30"/>
    </row>
    <row r="169" spans="1:53" x14ac:dyDescent="0.3">
      <c r="A169" s="4" t="str">
        <f t="shared" si="17"/>
        <v>74X97M1000031</v>
      </c>
      <c r="B169" s="4" t="str">
        <f t="shared" si="13"/>
        <v>1-1</v>
      </c>
      <c r="C169" s="4">
        <v>2</v>
      </c>
      <c r="D169" s="4">
        <v>165</v>
      </c>
      <c r="E169" s="4" t="str" cm="1">
        <f t="array" ref="E169">_xlfn.XLOOKUP(A169&amp;B169&amp;$E$1&amp;"DPMB_SOCKET0__COMPUTE"&amp;C169&amp;"__CPU__CORE"&amp;Check!D169&amp;"__ML2_CR_MC3_STATUS"&amp;$B$1,core_mc[VisualId]&amp;core_mc[PPVRun_MC]&amp;core_mc[Lot]&amp;core_mc[TestNameWithoutNumeric],core_mc[TestValue],"")</f>
        <v/>
      </c>
      <c r="F169" s="4">
        <v>165</v>
      </c>
      <c r="G169" s="4" t="str" cm="1">
        <f t="array" ref="G169">_xlfn.XLOOKUP(A169&amp;B169&amp;$E$1&amp;"DPMB_SOCKET0__COMPUTE"&amp;C169&amp;"__UNCORE__CHA__CHA"&amp;Check!F169&amp;"__UTIL__MC_STATUS"&amp;$B$1,cha_mc[VisualId]&amp;cha_mc[PPVRun_MC]&amp;cha_mc[Lot]&amp;cha_mc[TestNameWithoutNumeric],cha_mc[TestValue],"")</f>
        <v/>
      </c>
      <c r="H169" s="4" t="str">
        <f t="shared" si="14"/>
        <v/>
      </c>
      <c r="AK169" s="4" t="str">
        <f t="shared" si="15"/>
        <v/>
      </c>
      <c r="AL169" s="4"/>
      <c r="AM169" s="4" t="str">
        <f t="shared" si="16"/>
        <v/>
      </c>
      <c r="AN169" s="4" t="str">
        <f>IFERROR(_xlfn.XLOOKUP(HEX2DEC(MID(AM169,LEN(AM169)-7,4)),mscod[MSCOD_BY_VAL],mscod[Description],""),"")</f>
        <v/>
      </c>
      <c r="AO169" s="4" t="str" cm="1">
        <f t="array" ref="AO169">_xlfn.XLOOKUP($K$1&amp;$Q$1&amp;"DPMB_SOCKET0__COMPUTE"&amp;AK169&amp;"__UNCORE__CHA__CHA"&amp;AL169&amp;"__UTIL__MC_ADDR"&amp;$B$1,cha_mc[VisualId]&amp;cha_mc[UnitTestingSeqKey]&amp;cha_mc[TestName],cha_mc[TestValue],"")</f>
        <v/>
      </c>
      <c r="AP169" s="4" t="str" cm="1">
        <f t="array" ref="AP169">_xlfn.XLOOKUP($K$1&amp;$Q$1&amp;"DPMB_SOCKET0__COMPUTE"&amp;AK169&amp;"__UNCORE__CHA__CHA"&amp;AL169&amp;"__UTIL__MC_MISC"&amp;$B$1,cha_mc[VisualId]&amp;cha_mc[UnitTestingSeqKey]&amp;cha_mc[TestName],cha_mc[TestValue],"")</f>
        <v/>
      </c>
      <c r="AQ169" s="30"/>
      <c r="AR169" s="30"/>
      <c r="AS169" s="30"/>
      <c r="AT169" s="30"/>
      <c r="AU169" s="30"/>
      <c r="AV169" s="4" t="str" cm="1">
        <f t="array" ref="AV169">_xlfn.XLOOKUP($K$1&amp;$Q$1&amp;"DPMB_SOCKET0__COMPUTE"&amp;AK169&amp;"__UNCORE__CHA__CHA"&amp;AL169&amp;"__UTIL__MC_MISC3"&amp;$B$1,cha_mc[VisualId]&amp;cha_mc[UnitTestingSeqKey]&amp;cha_mc[TestName],cha_mc[TestValue],"")</f>
        <v/>
      </c>
      <c r="AW169" s="30"/>
      <c r="AX169" s="30"/>
      <c r="AY169" s="30"/>
      <c r="AZ169" s="30"/>
      <c r="BA169" s="30"/>
    </row>
    <row r="170" spans="1:53" x14ac:dyDescent="0.3">
      <c r="A170" s="4" t="str">
        <f t="shared" si="17"/>
        <v>74X97M1000031</v>
      </c>
      <c r="B170" s="4" t="str">
        <f t="shared" si="13"/>
        <v>1-1</v>
      </c>
      <c r="C170" s="4">
        <v>2</v>
      </c>
      <c r="D170" s="4">
        <v>166</v>
      </c>
      <c r="E170" s="4" t="str" cm="1">
        <f t="array" ref="E170">_xlfn.XLOOKUP(A170&amp;B170&amp;$E$1&amp;"DPMB_SOCKET0__COMPUTE"&amp;C170&amp;"__CPU__CORE"&amp;Check!D170&amp;"__ML2_CR_MC3_STATUS"&amp;$B$1,core_mc[VisualId]&amp;core_mc[PPVRun_MC]&amp;core_mc[Lot]&amp;core_mc[TestNameWithoutNumeric],core_mc[TestValue],"")</f>
        <v/>
      </c>
      <c r="F170" s="4">
        <v>166</v>
      </c>
      <c r="G170" s="4" t="str" cm="1">
        <f t="array" ref="G170">_xlfn.XLOOKUP(A170&amp;B170&amp;$E$1&amp;"DPMB_SOCKET0__COMPUTE"&amp;C170&amp;"__UNCORE__CHA__CHA"&amp;Check!F170&amp;"__UTIL__MC_STATUS"&amp;$B$1,cha_mc[VisualId]&amp;cha_mc[PPVRun_MC]&amp;cha_mc[Lot]&amp;cha_mc[TestNameWithoutNumeric],cha_mc[TestValue],"")</f>
        <v/>
      </c>
      <c r="H170" s="4" t="str">
        <f t="shared" si="14"/>
        <v/>
      </c>
      <c r="AK170" s="4" t="str">
        <f t="shared" si="15"/>
        <v/>
      </c>
      <c r="AL170" s="4"/>
      <c r="AM170" s="4" t="str">
        <f t="shared" si="16"/>
        <v/>
      </c>
      <c r="AN170" s="4" t="str">
        <f>IFERROR(_xlfn.XLOOKUP(HEX2DEC(MID(AM170,LEN(AM170)-7,4)),mscod[MSCOD_BY_VAL],mscod[Description],""),"")</f>
        <v/>
      </c>
      <c r="AO170" s="4" t="str" cm="1">
        <f t="array" ref="AO170">_xlfn.XLOOKUP($K$1&amp;$Q$1&amp;"DPMB_SOCKET0__COMPUTE"&amp;AK170&amp;"__UNCORE__CHA__CHA"&amp;AL170&amp;"__UTIL__MC_ADDR"&amp;$B$1,cha_mc[VisualId]&amp;cha_mc[UnitTestingSeqKey]&amp;cha_mc[TestName],cha_mc[TestValue],"")</f>
        <v/>
      </c>
      <c r="AP170" s="4" t="str" cm="1">
        <f t="array" ref="AP170">_xlfn.XLOOKUP($K$1&amp;$Q$1&amp;"DPMB_SOCKET0__COMPUTE"&amp;AK170&amp;"__UNCORE__CHA__CHA"&amp;AL170&amp;"__UTIL__MC_MISC"&amp;$B$1,cha_mc[VisualId]&amp;cha_mc[UnitTestingSeqKey]&amp;cha_mc[TestName],cha_mc[TestValue],"")</f>
        <v/>
      </c>
      <c r="AQ170" s="30"/>
      <c r="AR170" s="30"/>
      <c r="AS170" s="30"/>
      <c r="AT170" s="30"/>
      <c r="AU170" s="30"/>
      <c r="AV170" s="4" t="str" cm="1">
        <f t="array" ref="AV170">_xlfn.XLOOKUP($K$1&amp;$Q$1&amp;"DPMB_SOCKET0__COMPUTE"&amp;AK170&amp;"__UNCORE__CHA__CHA"&amp;AL170&amp;"__UTIL__MC_MISC3"&amp;$B$1,cha_mc[VisualId]&amp;cha_mc[UnitTestingSeqKey]&amp;cha_mc[TestName],cha_mc[TestValue],"")</f>
        <v/>
      </c>
      <c r="AW170" s="30"/>
      <c r="AX170" s="30"/>
      <c r="AY170" s="30"/>
      <c r="AZ170" s="30"/>
      <c r="BA170" s="30"/>
    </row>
    <row r="171" spans="1:53" x14ac:dyDescent="0.3">
      <c r="A171" s="4" t="str">
        <f t="shared" si="17"/>
        <v>74X97M1000031</v>
      </c>
      <c r="B171" s="4" t="str">
        <f t="shared" si="13"/>
        <v>1-1</v>
      </c>
      <c r="C171" s="4">
        <v>2</v>
      </c>
      <c r="D171" s="4">
        <v>167</v>
      </c>
      <c r="E171" s="4" t="str" cm="1">
        <f t="array" ref="E171">_xlfn.XLOOKUP(A171&amp;B171&amp;$E$1&amp;"DPMB_SOCKET0__COMPUTE"&amp;C171&amp;"__CPU__CORE"&amp;Check!D171&amp;"__ML2_CR_MC3_STATUS"&amp;$B$1,core_mc[VisualId]&amp;core_mc[PPVRun_MC]&amp;core_mc[Lot]&amp;core_mc[TestNameWithoutNumeric],core_mc[TestValue],"")</f>
        <v/>
      </c>
      <c r="F171" s="4">
        <v>167</v>
      </c>
      <c r="G171" s="4" t="str" cm="1">
        <f t="array" ref="G171">_xlfn.XLOOKUP(A171&amp;B171&amp;$E$1&amp;"DPMB_SOCKET0__COMPUTE"&amp;C171&amp;"__UNCORE__CHA__CHA"&amp;Check!F171&amp;"__UTIL__MC_STATUS"&amp;$B$1,cha_mc[VisualId]&amp;cha_mc[PPVRun_MC]&amp;cha_mc[Lot]&amp;cha_mc[TestNameWithoutNumeric],cha_mc[TestValue],"")</f>
        <v/>
      </c>
      <c r="H171" s="4" t="str">
        <f t="shared" si="14"/>
        <v/>
      </c>
      <c r="AK171" s="4" t="str">
        <f t="shared" si="15"/>
        <v/>
      </c>
      <c r="AL171" s="4"/>
      <c r="AM171" s="4" t="str">
        <f t="shared" si="16"/>
        <v/>
      </c>
      <c r="AN171" s="4" t="str">
        <f>IFERROR(_xlfn.XLOOKUP(HEX2DEC(MID(AM171,LEN(AM171)-7,4)),mscod[MSCOD_BY_VAL],mscod[Description],""),"")</f>
        <v/>
      </c>
      <c r="AO171" s="4" t="str" cm="1">
        <f t="array" ref="AO171">_xlfn.XLOOKUP($K$1&amp;$Q$1&amp;"DPMB_SOCKET0__COMPUTE"&amp;AK171&amp;"__UNCORE__CHA__CHA"&amp;AL171&amp;"__UTIL__MC_ADDR"&amp;$B$1,cha_mc[VisualId]&amp;cha_mc[UnitTestingSeqKey]&amp;cha_mc[TestName],cha_mc[TestValue],"")</f>
        <v/>
      </c>
      <c r="AP171" s="4" t="str" cm="1">
        <f t="array" ref="AP171">_xlfn.XLOOKUP($K$1&amp;$Q$1&amp;"DPMB_SOCKET0__COMPUTE"&amp;AK171&amp;"__UNCORE__CHA__CHA"&amp;AL171&amp;"__UTIL__MC_MISC"&amp;$B$1,cha_mc[VisualId]&amp;cha_mc[UnitTestingSeqKey]&amp;cha_mc[TestName],cha_mc[TestValue],"")</f>
        <v/>
      </c>
      <c r="AQ171" s="30"/>
      <c r="AR171" s="30"/>
      <c r="AS171" s="30"/>
      <c r="AT171" s="30"/>
      <c r="AU171" s="30"/>
      <c r="AV171" s="4" t="str" cm="1">
        <f t="array" ref="AV171">_xlfn.XLOOKUP($K$1&amp;$Q$1&amp;"DPMB_SOCKET0__COMPUTE"&amp;AK171&amp;"__UNCORE__CHA__CHA"&amp;AL171&amp;"__UTIL__MC_MISC3"&amp;$B$1,cha_mc[VisualId]&amp;cha_mc[UnitTestingSeqKey]&amp;cha_mc[TestName],cha_mc[TestValue],"")</f>
        <v/>
      </c>
      <c r="AW171" s="30"/>
      <c r="AX171" s="30"/>
      <c r="AY171" s="30"/>
      <c r="AZ171" s="30"/>
      <c r="BA171" s="30"/>
    </row>
    <row r="172" spans="1:53" x14ac:dyDescent="0.3">
      <c r="A172" s="4" t="str">
        <f t="shared" si="17"/>
        <v>74X97M1000031</v>
      </c>
      <c r="B172" s="4" t="str">
        <f t="shared" si="13"/>
        <v>1-1</v>
      </c>
      <c r="C172" s="4">
        <v>2</v>
      </c>
      <c r="D172" s="4">
        <v>168</v>
      </c>
      <c r="E172" s="4" t="str" cm="1">
        <f t="array" ref="E172">_xlfn.XLOOKUP(A172&amp;B172&amp;$E$1&amp;"DPMB_SOCKET0__COMPUTE"&amp;C172&amp;"__CPU__CORE"&amp;Check!D172&amp;"__ML2_CR_MC3_STATUS"&amp;$B$1,core_mc[VisualId]&amp;core_mc[PPVRun_MC]&amp;core_mc[Lot]&amp;core_mc[TestNameWithoutNumeric],core_mc[TestValue],"")</f>
        <v/>
      </c>
      <c r="F172" s="4">
        <v>168</v>
      </c>
      <c r="G172" s="4" t="str" cm="1">
        <f t="array" ref="G172">_xlfn.XLOOKUP(A172&amp;B172&amp;$E$1&amp;"DPMB_SOCKET0__COMPUTE"&amp;C172&amp;"__UNCORE__CHA__CHA"&amp;Check!F172&amp;"__UTIL__MC_STATUS"&amp;$B$1,cha_mc[VisualId]&amp;cha_mc[PPVRun_MC]&amp;cha_mc[Lot]&amp;cha_mc[TestNameWithoutNumeric],cha_mc[TestValue],"")</f>
        <v/>
      </c>
      <c r="H172" s="4" t="str">
        <f t="shared" si="14"/>
        <v/>
      </c>
      <c r="AK172" s="4" t="str">
        <f t="shared" si="15"/>
        <v/>
      </c>
      <c r="AL172" s="4"/>
      <c r="AM172" s="4" t="str">
        <f t="shared" si="16"/>
        <v/>
      </c>
      <c r="AN172" s="4" t="str">
        <f>IFERROR(_xlfn.XLOOKUP(HEX2DEC(MID(AM172,LEN(AM172)-7,4)),mscod[MSCOD_BY_VAL],mscod[Description],""),"")</f>
        <v/>
      </c>
      <c r="AO172" s="4" t="str" cm="1">
        <f t="array" ref="AO172">_xlfn.XLOOKUP($K$1&amp;$Q$1&amp;"DPMB_SOCKET0__COMPUTE"&amp;AK172&amp;"__UNCORE__CHA__CHA"&amp;AL172&amp;"__UTIL__MC_ADDR"&amp;$B$1,cha_mc[VisualId]&amp;cha_mc[UnitTestingSeqKey]&amp;cha_mc[TestName],cha_mc[TestValue],"")</f>
        <v/>
      </c>
      <c r="AP172" s="4" t="str" cm="1">
        <f t="array" ref="AP172">_xlfn.XLOOKUP($K$1&amp;$Q$1&amp;"DPMB_SOCKET0__COMPUTE"&amp;AK172&amp;"__UNCORE__CHA__CHA"&amp;AL172&amp;"__UTIL__MC_MISC"&amp;$B$1,cha_mc[VisualId]&amp;cha_mc[UnitTestingSeqKey]&amp;cha_mc[TestName],cha_mc[TestValue],"")</f>
        <v/>
      </c>
      <c r="AQ172" s="30"/>
      <c r="AR172" s="30"/>
      <c r="AS172" s="30"/>
      <c r="AT172" s="30"/>
      <c r="AU172" s="30"/>
      <c r="AV172" s="4" t="str" cm="1">
        <f t="array" ref="AV172">_xlfn.XLOOKUP($K$1&amp;$Q$1&amp;"DPMB_SOCKET0__COMPUTE"&amp;AK172&amp;"__UNCORE__CHA__CHA"&amp;AL172&amp;"__UTIL__MC_MISC3"&amp;$B$1,cha_mc[VisualId]&amp;cha_mc[UnitTestingSeqKey]&amp;cha_mc[TestName],cha_mc[TestValue],"")</f>
        <v/>
      </c>
      <c r="AW172" s="30"/>
      <c r="AX172" s="30"/>
      <c r="AY172" s="30"/>
      <c r="AZ172" s="30"/>
      <c r="BA172" s="30"/>
    </row>
    <row r="173" spans="1:53" x14ac:dyDescent="0.3">
      <c r="A173" s="4" t="str">
        <f t="shared" si="17"/>
        <v>74X97M1000031</v>
      </c>
      <c r="B173" s="4" t="str">
        <f t="shared" si="13"/>
        <v>1-1</v>
      </c>
      <c r="C173" s="4">
        <v>2</v>
      </c>
      <c r="D173" s="4">
        <v>169</v>
      </c>
      <c r="E173" s="4" t="str" cm="1">
        <f t="array" ref="E173">_xlfn.XLOOKUP(A173&amp;B173&amp;$E$1&amp;"DPMB_SOCKET0__COMPUTE"&amp;C173&amp;"__CPU__CORE"&amp;Check!D173&amp;"__ML2_CR_MC3_STATUS"&amp;$B$1,core_mc[VisualId]&amp;core_mc[PPVRun_MC]&amp;core_mc[Lot]&amp;core_mc[TestNameWithoutNumeric],core_mc[TestValue],"")</f>
        <v/>
      </c>
      <c r="F173" s="4">
        <v>169</v>
      </c>
      <c r="G173" s="4" t="str" cm="1">
        <f t="array" ref="G173">_xlfn.XLOOKUP(A173&amp;B173&amp;$E$1&amp;"DPMB_SOCKET0__COMPUTE"&amp;C173&amp;"__UNCORE__CHA__CHA"&amp;Check!F173&amp;"__UTIL__MC_STATUS"&amp;$B$1,cha_mc[VisualId]&amp;cha_mc[PPVRun_MC]&amp;cha_mc[Lot]&amp;cha_mc[TestNameWithoutNumeric],cha_mc[TestValue],"")</f>
        <v/>
      </c>
      <c r="H173" s="4" t="str">
        <f t="shared" si="14"/>
        <v/>
      </c>
      <c r="AK173" s="4" t="str">
        <f t="shared" si="15"/>
        <v/>
      </c>
      <c r="AL173" s="4"/>
      <c r="AM173" s="4" t="str">
        <f t="shared" si="16"/>
        <v/>
      </c>
      <c r="AN173" s="4" t="str">
        <f>IFERROR(_xlfn.XLOOKUP(HEX2DEC(MID(AM173,LEN(AM173)-7,4)),mscod[MSCOD_BY_VAL],mscod[Description],""),"")</f>
        <v/>
      </c>
      <c r="AO173" s="4" t="str" cm="1">
        <f t="array" ref="AO173">_xlfn.XLOOKUP($K$1&amp;$Q$1&amp;"DPMB_SOCKET0__COMPUTE"&amp;AK173&amp;"__UNCORE__CHA__CHA"&amp;AL173&amp;"__UTIL__MC_ADDR"&amp;$B$1,cha_mc[VisualId]&amp;cha_mc[UnitTestingSeqKey]&amp;cha_mc[TestName],cha_mc[TestValue],"")</f>
        <v/>
      </c>
      <c r="AP173" s="4" t="str" cm="1">
        <f t="array" ref="AP173">_xlfn.XLOOKUP($K$1&amp;$Q$1&amp;"DPMB_SOCKET0__COMPUTE"&amp;AK173&amp;"__UNCORE__CHA__CHA"&amp;AL173&amp;"__UTIL__MC_MISC"&amp;$B$1,cha_mc[VisualId]&amp;cha_mc[UnitTestingSeqKey]&amp;cha_mc[TestName],cha_mc[TestValue],"")</f>
        <v/>
      </c>
      <c r="AQ173" s="30"/>
      <c r="AR173" s="30"/>
      <c r="AS173" s="30"/>
      <c r="AT173" s="30"/>
      <c r="AU173" s="30"/>
      <c r="AV173" s="4" t="str" cm="1">
        <f t="array" ref="AV173">_xlfn.XLOOKUP($K$1&amp;$Q$1&amp;"DPMB_SOCKET0__COMPUTE"&amp;AK173&amp;"__UNCORE__CHA__CHA"&amp;AL173&amp;"__UTIL__MC_MISC3"&amp;$B$1,cha_mc[VisualId]&amp;cha_mc[UnitTestingSeqKey]&amp;cha_mc[TestName],cha_mc[TestValue],"")</f>
        <v/>
      </c>
      <c r="AW173" s="30"/>
      <c r="AX173" s="30"/>
      <c r="AY173" s="30"/>
      <c r="AZ173" s="30"/>
      <c r="BA173" s="30"/>
    </row>
    <row r="174" spans="1:53" x14ac:dyDescent="0.3">
      <c r="A174" s="4" t="str">
        <f t="shared" si="17"/>
        <v>74X97M1000031</v>
      </c>
      <c r="B174" s="4" t="str">
        <f t="shared" si="13"/>
        <v>1-1</v>
      </c>
      <c r="C174" s="4">
        <v>2</v>
      </c>
      <c r="D174" s="4">
        <v>170</v>
      </c>
      <c r="E174" s="4" t="str" cm="1">
        <f t="array" ref="E174">_xlfn.XLOOKUP(A174&amp;B174&amp;$E$1&amp;"DPMB_SOCKET0__COMPUTE"&amp;C174&amp;"__CPU__CORE"&amp;Check!D174&amp;"__ML2_CR_MC3_STATUS"&amp;$B$1,core_mc[VisualId]&amp;core_mc[PPVRun_MC]&amp;core_mc[Lot]&amp;core_mc[TestNameWithoutNumeric],core_mc[TestValue],"")</f>
        <v/>
      </c>
      <c r="F174" s="4">
        <v>170</v>
      </c>
      <c r="G174" s="4" t="str" cm="1">
        <f t="array" ref="G174">_xlfn.XLOOKUP(A174&amp;B174&amp;$E$1&amp;"DPMB_SOCKET0__COMPUTE"&amp;C174&amp;"__UNCORE__CHA__CHA"&amp;Check!F174&amp;"__UTIL__MC_STATUS"&amp;$B$1,cha_mc[VisualId]&amp;cha_mc[PPVRun_MC]&amp;cha_mc[Lot]&amp;cha_mc[TestNameWithoutNumeric],cha_mc[TestValue],"")</f>
        <v/>
      </c>
      <c r="H174" s="4" t="str">
        <f t="shared" si="14"/>
        <v/>
      </c>
      <c r="AK174" s="4" t="str">
        <f t="shared" si="15"/>
        <v/>
      </c>
      <c r="AL174" s="4"/>
      <c r="AM174" s="4" t="str">
        <f t="shared" si="16"/>
        <v/>
      </c>
      <c r="AN174" s="4" t="str">
        <f>IFERROR(_xlfn.XLOOKUP(HEX2DEC(MID(AM174,LEN(AM174)-7,4)),mscod[MSCOD_BY_VAL],mscod[Description],""),"")</f>
        <v/>
      </c>
      <c r="AO174" s="4" t="str" cm="1">
        <f t="array" ref="AO174">_xlfn.XLOOKUP($K$1&amp;$Q$1&amp;"DPMB_SOCKET0__COMPUTE"&amp;AK174&amp;"__UNCORE__CHA__CHA"&amp;AL174&amp;"__UTIL__MC_ADDR"&amp;$B$1,cha_mc[VisualId]&amp;cha_mc[UnitTestingSeqKey]&amp;cha_mc[TestName],cha_mc[TestValue],"")</f>
        <v/>
      </c>
      <c r="AP174" s="4" t="str" cm="1">
        <f t="array" ref="AP174">_xlfn.XLOOKUP($K$1&amp;$Q$1&amp;"DPMB_SOCKET0__COMPUTE"&amp;AK174&amp;"__UNCORE__CHA__CHA"&amp;AL174&amp;"__UTIL__MC_MISC"&amp;$B$1,cha_mc[VisualId]&amp;cha_mc[UnitTestingSeqKey]&amp;cha_mc[TestName],cha_mc[TestValue],"")</f>
        <v/>
      </c>
      <c r="AQ174" s="30"/>
      <c r="AR174" s="30"/>
      <c r="AS174" s="30"/>
      <c r="AT174" s="30"/>
      <c r="AU174" s="30"/>
      <c r="AV174" s="4" t="str" cm="1">
        <f t="array" ref="AV174">_xlfn.XLOOKUP($K$1&amp;$Q$1&amp;"DPMB_SOCKET0__COMPUTE"&amp;AK174&amp;"__UNCORE__CHA__CHA"&amp;AL174&amp;"__UTIL__MC_MISC3"&amp;$B$1,cha_mc[VisualId]&amp;cha_mc[UnitTestingSeqKey]&amp;cha_mc[TestName],cha_mc[TestValue],"")</f>
        <v/>
      </c>
      <c r="AW174" s="30"/>
      <c r="AX174" s="30"/>
      <c r="AY174" s="30"/>
      <c r="AZ174" s="30"/>
      <c r="BA174" s="30"/>
    </row>
    <row r="175" spans="1:53" x14ac:dyDescent="0.3">
      <c r="A175" s="4" t="str">
        <f t="shared" si="17"/>
        <v>74X97M1000031</v>
      </c>
      <c r="B175" s="4" t="str">
        <f t="shared" si="13"/>
        <v>1-1</v>
      </c>
      <c r="C175" s="4">
        <v>2</v>
      </c>
      <c r="D175" s="4">
        <v>171</v>
      </c>
      <c r="E175" s="4" t="str" cm="1">
        <f t="array" ref="E175">_xlfn.XLOOKUP(A175&amp;B175&amp;$E$1&amp;"DPMB_SOCKET0__COMPUTE"&amp;C175&amp;"__CPU__CORE"&amp;Check!D175&amp;"__ML2_CR_MC3_STATUS"&amp;$B$1,core_mc[VisualId]&amp;core_mc[PPVRun_MC]&amp;core_mc[Lot]&amp;core_mc[TestNameWithoutNumeric],core_mc[TestValue],"")</f>
        <v/>
      </c>
      <c r="F175" s="4">
        <v>171</v>
      </c>
      <c r="G175" s="4" t="str" cm="1">
        <f t="array" ref="G175">_xlfn.XLOOKUP(A175&amp;B175&amp;$E$1&amp;"DPMB_SOCKET0__COMPUTE"&amp;C175&amp;"__UNCORE__CHA__CHA"&amp;Check!F175&amp;"__UTIL__MC_STATUS"&amp;$B$1,cha_mc[VisualId]&amp;cha_mc[PPVRun_MC]&amp;cha_mc[Lot]&amp;cha_mc[TestNameWithoutNumeric],cha_mc[TestValue],"")</f>
        <v/>
      </c>
      <c r="H175" s="4" t="str">
        <f t="shared" si="14"/>
        <v/>
      </c>
      <c r="AK175" s="4" t="str">
        <f t="shared" si="15"/>
        <v/>
      </c>
      <c r="AL175" s="4"/>
      <c r="AM175" s="4" t="str">
        <f t="shared" si="16"/>
        <v/>
      </c>
      <c r="AN175" s="4" t="str">
        <f>IFERROR(_xlfn.XLOOKUP(HEX2DEC(MID(AM175,LEN(AM175)-7,4)),mscod[MSCOD_BY_VAL],mscod[Description],""),"")</f>
        <v/>
      </c>
      <c r="AO175" s="4" t="str" cm="1">
        <f t="array" ref="AO175">_xlfn.XLOOKUP($K$1&amp;$Q$1&amp;"DPMB_SOCKET0__COMPUTE"&amp;AK175&amp;"__UNCORE__CHA__CHA"&amp;AL175&amp;"__UTIL__MC_ADDR"&amp;$B$1,cha_mc[VisualId]&amp;cha_mc[UnitTestingSeqKey]&amp;cha_mc[TestName],cha_mc[TestValue],"")</f>
        <v/>
      </c>
      <c r="AP175" s="4" t="str" cm="1">
        <f t="array" ref="AP175">_xlfn.XLOOKUP($K$1&amp;$Q$1&amp;"DPMB_SOCKET0__COMPUTE"&amp;AK175&amp;"__UNCORE__CHA__CHA"&amp;AL175&amp;"__UTIL__MC_MISC"&amp;$B$1,cha_mc[VisualId]&amp;cha_mc[UnitTestingSeqKey]&amp;cha_mc[TestName],cha_mc[TestValue],"")</f>
        <v/>
      </c>
      <c r="AQ175" s="30"/>
      <c r="AR175" s="30"/>
      <c r="AS175" s="30"/>
      <c r="AT175" s="30"/>
      <c r="AU175" s="30"/>
      <c r="AV175" s="4" t="str" cm="1">
        <f t="array" ref="AV175">_xlfn.XLOOKUP($K$1&amp;$Q$1&amp;"DPMB_SOCKET0__COMPUTE"&amp;AK175&amp;"__UNCORE__CHA__CHA"&amp;AL175&amp;"__UTIL__MC_MISC3"&amp;$B$1,cha_mc[VisualId]&amp;cha_mc[UnitTestingSeqKey]&amp;cha_mc[TestName],cha_mc[TestValue],"")</f>
        <v/>
      </c>
      <c r="AW175" s="30"/>
      <c r="AX175" s="30"/>
      <c r="AY175" s="30"/>
      <c r="AZ175" s="30"/>
      <c r="BA175" s="30"/>
    </row>
    <row r="176" spans="1:53" x14ac:dyDescent="0.3">
      <c r="A176" s="4" t="str">
        <f t="shared" si="17"/>
        <v>74X97M1000031</v>
      </c>
      <c r="B176" s="4" t="str">
        <f t="shared" si="13"/>
        <v>1-1</v>
      </c>
      <c r="C176" s="4">
        <v>2</v>
      </c>
      <c r="D176" s="4">
        <v>172</v>
      </c>
      <c r="E176" s="4" t="str" cm="1">
        <f t="array" ref="E176">_xlfn.XLOOKUP(A176&amp;B176&amp;$E$1&amp;"DPMB_SOCKET0__COMPUTE"&amp;C176&amp;"__CPU__CORE"&amp;Check!D176&amp;"__ML2_CR_MC3_STATUS"&amp;$B$1,core_mc[VisualId]&amp;core_mc[PPVRun_MC]&amp;core_mc[Lot]&amp;core_mc[TestNameWithoutNumeric],core_mc[TestValue],"")</f>
        <v/>
      </c>
      <c r="F176" s="4">
        <v>172</v>
      </c>
      <c r="G176" s="4" t="str" cm="1">
        <f t="array" ref="G176">_xlfn.XLOOKUP(A176&amp;B176&amp;$E$1&amp;"DPMB_SOCKET0__COMPUTE"&amp;C176&amp;"__UNCORE__CHA__CHA"&amp;Check!F176&amp;"__UTIL__MC_STATUS"&amp;$B$1,cha_mc[VisualId]&amp;cha_mc[PPVRun_MC]&amp;cha_mc[Lot]&amp;cha_mc[TestNameWithoutNumeric],cha_mc[TestValue],"")</f>
        <v/>
      </c>
      <c r="H176" s="4" t="str">
        <f t="shared" si="14"/>
        <v/>
      </c>
      <c r="AK176" s="4" t="str">
        <f t="shared" si="15"/>
        <v/>
      </c>
      <c r="AL176" s="4"/>
      <c r="AM176" s="4" t="str">
        <f t="shared" si="16"/>
        <v/>
      </c>
      <c r="AN176" s="4" t="str">
        <f>IFERROR(_xlfn.XLOOKUP(HEX2DEC(MID(AM176,LEN(AM176)-7,4)),mscod[MSCOD_BY_VAL],mscod[Description],""),"")</f>
        <v/>
      </c>
      <c r="AO176" s="4" t="str" cm="1">
        <f t="array" ref="AO176">_xlfn.XLOOKUP($K$1&amp;$Q$1&amp;"DPMB_SOCKET0__COMPUTE"&amp;AK176&amp;"__UNCORE__CHA__CHA"&amp;AL176&amp;"__UTIL__MC_ADDR"&amp;$B$1,cha_mc[VisualId]&amp;cha_mc[UnitTestingSeqKey]&amp;cha_mc[TestName],cha_mc[TestValue],"")</f>
        <v/>
      </c>
      <c r="AP176" s="4" t="str" cm="1">
        <f t="array" ref="AP176">_xlfn.XLOOKUP($K$1&amp;$Q$1&amp;"DPMB_SOCKET0__COMPUTE"&amp;AK176&amp;"__UNCORE__CHA__CHA"&amp;AL176&amp;"__UTIL__MC_MISC"&amp;$B$1,cha_mc[VisualId]&amp;cha_mc[UnitTestingSeqKey]&amp;cha_mc[TestName],cha_mc[TestValue],"")</f>
        <v/>
      </c>
      <c r="AQ176" s="30"/>
      <c r="AR176" s="30"/>
      <c r="AS176" s="30"/>
      <c r="AT176" s="30"/>
      <c r="AU176" s="30"/>
      <c r="AV176" s="4" t="str" cm="1">
        <f t="array" ref="AV176">_xlfn.XLOOKUP($K$1&amp;$Q$1&amp;"DPMB_SOCKET0__COMPUTE"&amp;AK176&amp;"__UNCORE__CHA__CHA"&amp;AL176&amp;"__UTIL__MC_MISC3"&amp;$B$1,cha_mc[VisualId]&amp;cha_mc[UnitTestingSeqKey]&amp;cha_mc[TestName],cha_mc[TestValue],"")</f>
        <v/>
      </c>
      <c r="AW176" s="30"/>
      <c r="AX176" s="30"/>
      <c r="AY176" s="30"/>
      <c r="AZ176" s="30"/>
      <c r="BA176" s="30"/>
    </row>
    <row r="177" spans="1:53" x14ac:dyDescent="0.3">
      <c r="A177" s="4" t="str">
        <f t="shared" si="17"/>
        <v>74X97M1000031</v>
      </c>
      <c r="B177" s="4" t="str">
        <f t="shared" si="13"/>
        <v>1-1</v>
      </c>
      <c r="C177" s="4">
        <v>2</v>
      </c>
      <c r="D177" s="4">
        <v>173</v>
      </c>
      <c r="E177" s="4" t="str" cm="1">
        <f t="array" ref="E177">_xlfn.XLOOKUP(A177&amp;B177&amp;$E$1&amp;"DPMB_SOCKET0__COMPUTE"&amp;C177&amp;"__CPU__CORE"&amp;Check!D177&amp;"__ML2_CR_MC3_STATUS"&amp;$B$1,core_mc[VisualId]&amp;core_mc[PPVRun_MC]&amp;core_mc[Lot]&amp;core_mc[TestNameWithoutNumeric],core_mc[TestValue],"")</f>
        <v/>
      </c>
      <c r="F177" s="4">
        <v>173</v>
      </c>
      <c r="G177" s="4" t="str" cm="1">
        <f t="array" ref="G177">_xlfn.XLOOKUP(A177&amp;B177&amp;$E$1&amp;"DPMB_SOCKET0__COMPUTE"&amp;C177&amp;"__UNCORE__CHA__CHA"&amp;Check!F177&amp;"__UTIL__MC_STATUS"&amp;$B$1,cha_mc[VisualId]&amp;cha_mc[PPVRun_MC]&amp;cha_mc[Lot]&amp;cha_mc[TestNameWithoutNumeric],cha_mc[TestValue],"")</f>
        <v/>
      </c>
      <c r="H177" s="4" t="str">
        <f t="shared" si="14"/>
        <v/>
      </c>
      <c r="AK177" s="4" t="str">
        <f t="shared" si="15"/>
        <v/>
      </c>
      <c r="AL177" s="4"/>
      <c r="AM177" s="4" t="str">
        <f t="shared" si="16"/>
        <v/>
      </c>
      <c r="AN177" s="4" t="str">
        <f>IFERROR(_xlfn.XLOOKUP(HEX2DEC(MID(AM177,LEN(AM177)-7,4)),mscod[MSCOD_BY_VAL],mscod[Description],""),"")</f>
        <v/>
      </c>
      <c r="AO177" s="4" t="str" cm="1">
        <f t="array" ref="AO177">_xlfn.XLOOKUP($K$1&amp;$Q$1&amp;"DPMB_SOCKET0__COMPUTE"&amp;AK177&amp;"__UNCORE__CHA__CHA"&amp;AL177&amp;"__UTIL__MC_ADDR"&amp;$B$1,cha_mc[VisualId]&amp;cha_mc[UnitTestingSeqKey]&amp;cha_mc[TestName],cha_mc[TestValue],"")</f>
        <v/>
      </c>
      <c r="AP177" s="4" t="str" cm="1">
        <f t="array" ref="AP177">_xlfn.XLOOKUP($K$1&amp;$Q$1&amp;"DPMB_SOCKET0__COMPUTE"&amp;AK177&amp;"__UNCORE__CHA__CHA"&amp;AL177&amp;"__UTIL__MC_MISC"&amp;$B$1,cha_mc[VisualId]&amp;cha_mc[UnitTestingSeqKey]&amp;cha_mc[TestName],cha_mc[TestValue],"")</f>
        <v/>
      </c>
      <c r="AQ177" s="30"/>
      <c r="AR177" s="30"/>
      <c r="AS177" s="30"/>
      <c r="AT177" s="30"/>
      <c r="AU177" s="30"/>
      <c r="AV177" s="4" t="str" cm="1">
        <f t="array" ref="AV177">_xlfn.XLOOKUP($K$1&amp;$Q$1&amp;"DPMB_SOCKET0__COMPUTE"&amp;AK177&amp;"__UNCORE__CHA__CHA"&amp;AL177&amp;"__UTIL__MC_MISC3"&amp;$B$1,cha_mc[VisualId]&amp;cha_mc[UnitTestingSeqKey]&amp;cha_mc[TestName],cha_mc[TestValue],"")</f>
        <v/>
      </c>
      <c r="AW177" s="30"/>
      <c r="AX177" s="30"/>
      <c r="AY177" s="30"/>
      <c r="AZ177" s="30"/>
      <c r="BA177" s="30"/>
    </row>
    <row r="178" spans="1:53" x14ac:dyDescent="0.3">
      <c r="A178" s="4" t="str">
        <f t="shared" si="17"/>
        <v>74X97M1000031</v>
      </c>
      <c r="B178" s="4" t="str">
        <f t="shared" si="13"/>
        <v>1-1</v>
      </c>
      <c r="C178" s="4">
        <v>2</v>
      </c>
      <c r="D178" s="4">
        <v>174</v>
      </c>
      <c r="E178" s="4" t="str" cm="1">
        <f t="array" ref="E178">_xlfn.XLOOKUP(A178&amp;B178&amp;$E$1&amp;"DPMB_SOCKET0__COMPUTE"&amp;C178&amp;"__CPU__CORE"&amp;Check!D178&amp;"__ML2_CR_MC3_STATUS"&amp;$B$1,core_mc[VisualId]&amp;core_mc[PPVRun_MC]&amp;core_mc[Lot]&amp;core_mc[TestNameWithoutNumeric],core_mc[TestValue],"")</f>
        <v/>
      </c>
      <c r="F178" s="4">
        <v>174</v>
      </c>
      <c r="G178" s="4" t="str" cm="1">
        <f t="array" ref="G178">_xlfn.XLOOKUP(A178&amp;B178&amp;$E$1&amp;"DPMB_SOCKET0__COMPUTE"&amp;C178&amp;"__UNCORE__CHA__CHA"&amp;Check!F178&amp;"__UTIL__MC_STATUS"&amp;$B$1,cha_mc[VisualId]&amp;cha_mc[PPVRun_MC]&amp;cha_mc[Lot]&amp;cha_mc[TestNameWithoutNumeric],cha_mc[TestValue],"")</f>
        <v/>
      </c>
      <c r="H178" s="4" t="str">
        <f t="shared" si="14"/>
        <v/>
      </c>
      <c r="AK178" s="4" t="str">
        <f t="shared" si="15"/>
        <v/>
      </c>
      <c r="AL178" s="4"/>
      <c r="AM178" s="4" t="str">
        <f t="shared" si="16"/>
        <v/>
      </c>
      <c r="AN178" s="4" t="str">
        <f>IFERROR(_xlfn.XLOOKUP(HEX2DEC(MID(AM178,LEN(AM178)-7,4)),mscod[MSCOD_BY_VAL],mscod[Description],""),"")</f>
        <v/>
      </c>
      <c r="AO178" s="4" t="str" cm="1">
        <f t="array" ref="AO178">_xlfn.XLOOKUP($K$1&amp;$Q$1&amp;"DPMB_SOCKET0__COMPUTE"&amp;AK178&amp;"__UNCORE__CHA__CHA"&amp;AL178&amp;"__UTIL__MC_ADDR"&amp;$B$1,cha_mc[VisualId]&amp;cha_mc[UnitTestingSeqKey]&amp;cha_mc[TestName],cha_mc[TestValue],"")</f>
        <v/>
      </c>
      <c r="AP178" s="4" t="str" cm="1">
        <f t="array" ref="AP178">_xlfn.XLOOKUP($K$1&amp;$Q$1&amp;"DPMB_SOCKET0__COMPUTE"&amp;AK178&amp;"__UNCORE__CHA__CHA"&amp;AL178&amp;"__UTIL__MC_MISC"&amp;$B$1,cha_mc[VisualId]&amp;cha_mc[UnitTestingSeqKey]&amp;cha_mc[TestName],cha_mc[TestValue],"")</f>
        <v/>
      </c>
      <c r="AQ178" s="30"/>
      <c r="AR178" s="30"/>
      <c r="AS178" s="30"/>
      <c r="AT178" s="30"/>
      <c r="AU178" s="30"/>
      <c r="AV178" s="4" t="str" cm="1">
        <f t="array" ref="AV178">_xlfn.XLOOKUP($K$1&amp;$Q$1&amp;"DPMB_SOCKET0__COMPUTE"&amp;AK178&amp;"__UNCORE__CHA__CHA"&amp;AL178&amp;"__UTIL__MC_MISC3"&amp;$B$1,cha_mc[VisualId]&amp;cha_mc[UnitTestingSeqKey]&amp;cha_mc[TestName],cha_mc[TestValue],"")</f>
        <v/>
      </c>
      <c r="AW178" s="30"/>
      <c r="AX178" s="30"/>
      <c r="AY178" s="30"/>
      <c r="AZ178" s="30"/>
      <c r="BA178" s="30"/>
    </row>
    <row r="179" spans="1:53" x14ac:dyDescent="0.3">
      <c r="A179" s="4" t="str">
        <f t="shared" si="17"/>
        <v>74X97M1000031</v>
      </c>
      <c r="B179" s="4" t="str">
        <f t="shared" si="13"/>
        <v>1-1</v>
      </c>
      <c r="C179" s="4">
        <v>2</v>
      </c>
      <c r="D179" s="4">
        <v>175</v>
      </c>
      <c r="E179" s="4" t="str" cm="1">
        <f t="array" ref="E179">_xlfn.XLOOKUP(A179&amp;B179&amp;$E$1&amp;"DPMB_SOCKET0__COMPUTE"&amp;C179&amp;"__CPU__CORE"&amp;Check!D179&amp;"__ML2_CR_MC3_STATUS"&amp;$B$1,core_mc[VisualId]&amp;core_mc[PPVRun_MC]&amp;core_mc[Lot]&amp;core_mc[TestNameWithoutNumeric],core_mc[TestValue],"")</f>
        <v/>
      </c>
      <c r="F179" s="4">
        <v>175</v>
      </c>
      <c r="G179" s="4" t="str" cm="1">
        <f t="array" ref="G179">_xlfn.XLOOKUP(A179&amp;B179&amp;$E$1&amp;"DPMB_SOCKET0__COMPUTE"&amp;C179&amp;"__UNCORE__CHA__CHA"&amp;Check!F179&amp;"__UTIL__MC_STATUS"&amp;$B$1,cha_mc[VisualId]&amp;cha_mc[PPVRun_MC]&amp;cha_mc[Lot]&amp;cha_mc[TestNameWithoutNumeric],cha_mc[TestValue],"")</f>
        <v/>
      </c>
      <c r="H179" s="4" t="str">
        <f t="shared" si="14"/>
        <v/>
      </c>
      <c r="AK179" s="4" t="str">
        <f t="shared" si="15"/>
        <v/>
      </c>
      <c r="AL179" s="4"/>
      <c r="AM179" s="4" t="str">
        <f t="shared" si="16"/>
        <v/>
      </c>
      <c r="AN179" s="4" t="str">
        <f>IFERROR(_xlfn.XLOOKUP(HEX2DEC(MID(AM179,LEN(AM179)-7,4)),mscod[MSCOD_BY_VAL],mscod[Description],""),"")</f>
        <v/>
      </c>
      <c r="AO179" s="4" t="str" cm="1">
        <f t="array" ref="AO179">_xlfn.XLOOKUP($K$1&amp;$Q$1&amp;"DPMB_SOCKET0__COMPUTE"&amp;AK179&amp;"__UNCORE__CHA__CHA"&amp;AL179&amp;"__UTIL__MC_ADDR"&amp;$B$1,cha_mc[VisualId]&amp;cha_mc[UnitTestingSeqKey]&amp;cha_mc[TestName],cha_mc[TestValue],"")</f>
        <v/>
      </c>
      <c r="AP179" s="4" t="str" cm="1">
        <f t="array" ref="AP179">_xlfn.XLOOKUP($K$1&amp;$Q$1&amp;"DPMB_SOCKET0__COMPUTE"&amp;AK179&amp;"__UNCORE__CHA__CHA"&amp;AL179&amp;"__UTIL__MC_MISC"&amp;$B$1,cha_mc[VisualId]&amp;cha_mc[UnitTestingSeqKey]&amp;cha_mc[TestName],cha_mc[TestValue],"")</f>
        <v/>
      </c>
      <c r="AQ179" s="30"/>
      <c r="AR179" s="30"/>
      <c r="AS179" s="30"/>
      <c r="AT179" s="30"/>
      <c r="AU179" s="30"/>
      <c r="AV179" s="4" t="str" cm="1">
        <f t="array" ref="AV179">_xlfn.XLOOKUP($K$1&amp;$Q$1&amp;"DPMB_SOCKET0__COMPUTE"&amp;AK179&amp;"__UNCORE__CHA__CHA"&amp;AL179&amp;"__UTIL__MC_MISC3"&amp;$B$1,cha_mc[VisualId]&amp;cha_mc[UnitTestingSeqKey]&amp;cha_mc[TestName],cha_mc[TestValue],"")</f>
        <v/>
      </c>
      <c r="AW179" s="30"/>
      <c r="AX179" s="30"/>
      <c r="AY179" s="30"/>
      <c r="AZ179" s="30"/>
      <c r="BA179" s="30"/>
    </row>
    <row r="180" spans="1:53" x14ac:dyDescent="0.3">
      <c r="A180" s="4" t="str">
        <f t="shared" si="17"/>
        <v>74X97M1000031</v>
      </c>
      <c r="B180" s="4" t="str">
        <f t="shared" si="13"/>
        <v>1-1</v>
      </c>
      <c r="C180" s="4">
        <v>2</v>
      </c>
      <c r="D180" s="4">
        <v>176</v>
      </c>
      <c r="E180" s="4" t="str" cm="1">
        <f t="array" ref="E180">_xlfn.XLOOKUP(A180&amp;B180&amp;$E$1&amp;"DPMB_SOCKET0__COMPUTE"&amp;C180&amp;"__CPU__CORE"&amp;Check!D180&amp;"__ML2_CR_MC3_STATUS"&amp;$B$1,core_mc[VisualId]&amp;core_mc[PPVRun_MC]&amp;core_mc[Lot]&amp;core_mc[TestNameWithoutNumeric],core_mc[TestValue],"")</f>
        <v/>
      </c>
      <c r="F180" s="4">
        <v>176</v>
      </c>
      <c r="G180" s="4" t="str" cm="1">
        <f t="array" ref="G180">_xlfn.XLOOKUP(A180&amp;B180&amp;$E$1&amp;"DPMB_SOCKET0__COMPUTE"&amp;C180&amp;"__UNCORE__CHA__CHA"&amp;Check!F180&amp;"__UTIL__MC_STATUS"&amp;$B$1,cha_mc[VisualId]&amp;cha_mc[PPVRun_MC]&amp;cha_mc[Lot]&amp;cha_mc[TestNameWithoutNumeric],cha_mc[TestValue],"")</f>
        <v/>
      </c>
      <c r="H180" s="4" t="str">
        <f t="shared" si="14"/>
        <v/>
      </c>
      <c r="AK180" s="4" t="str">
        <f t="shared" si="15"/>
        <v/>
      </c>
      <c r="AL180" s="4"/>
      <c r="AM180" s="4" t="str">
        <f t="shared" si="16"/>
        <v/>
      </c>
      <c r="AN180" s="4" t="str">
        <f>IFERROR(_xlfn.XLOOKUP(HEX2DEC(MID(AM180,LEN(AM180)-7,4)),mscod[MSCOD_BY_VAL],mscod[Description],""),"")</f>
        <v/>
      </c>
      <c r="AO180" s="4" t="str" cm="1">
        <f t="array" ref="AO180">_xlfn.XLOOKUP($K$1&amp;$Q$1&amp;"DPMB_SOCKET0__COMPUTE"&amp;AK180&amp;"__UNCORE__CHA__CHA"&amp;AL180&amp;"__UTIL__MC_ADDR"&amp;$B$1,cha_mc[VisualId]&amp;cha_mc[UnitTestingSeqKey]&amp;cha_mc[TestName],cha_mc[TestValue],"")</f>
        <v/>
      </c>
      <c r="AP180" s="4" t="str" cm="1">
        <f t="array" ref="AP180">_xlfn.XLOOKUP($K$1&amp;$Q$1&amp;"DPMB_SOCKET0__COMPUTE"&amp;AK180&amp;"__UNCORE__CHA__CHA"&amp;AL180&amp;"__UTIL__MC_MISC"&amp;$B$1,cha_mc[VisualId]&amp;cha_mc[UnitTestingSeqKey]&amp;cha_mc[TestName],cha_mc[TestValue],"")</f>
        <v/>
      </c>
      <c r="AQ180" s="30"/>
      <c r="AR180" s="30"/>
      <c r="AS180" s="30"/>
      <c r="AT180" s="30"/>
      <c r="AU180" s="30"/>
      <c r="AV180" s="4" t="str" cm="1">
        <f t="array" ref="AV180">_xlfn.XLOOKUP($K$1&amp;$Q$1&amp;"DPMB_SOCKET0__COMPUTE"&amp;AK180&amp;"__UNCORE__CHA__CHA"&amp;AL180&amp;"__UTIL__MC_MISC3"&amp;$B$1,cha_mc[VisualId]&amp;cha_mc[UnitTestingSeqKey]&amp;cha_mc[TestName],cha_mc[TestValue],"")</f>
        <v/>
      </c>
      <c r="AW180" s="30"/>
      <c r="AX180" s="30"/>
      <c r="AY180" s="30"/>
      <c r="AZ180" s="30"/>
      <c r="BA180" s="30"/>
    </row>
    <row r="181" spans="1:53" x14ac:dyDescent="0.3">
      <c r="A181" s="4" t="str">
        <f t="shared" si="17"/>
        <v>74X97M1000031</v>
      </c>
      <c r="B181" s="4" t="str">
        <f t="shared" si="13"/>
        <v>1-1</v>
      </c>
      <c r="C181" s="4">
        <v>2</v>
      </c>
      <c r="D181" s="4">
        <v>177</v>
      </c>
      <c r="E181" s="4" t="str" cm="1">
        <f t="array" ref="E181">_xlfn.XLOOKUP(A181&amp;B181&amp;$E$1&amp;"DPMB_SOCKET0__COMPUTE"&amp;C181&amp;"__CPU__CORE"&amp;Check!D181&amp;"__ML2_CR_MC3_STATUS"&amp;$B$1,core_mc[VisualId]&amp;core_mc[PPVRun_MC]&amp;core_mc[Lot]&amp;core_mc[TestNameWithoutNumeric],core_mc[TestValue],"")</f>
        <v/>
      </c>
      <c r="F181" s="4">
        <v>177</v>
      </c>
      <c r="G181" s="4" t="str" cm="1">
        <f t="array" ref="G181">_xlfn.XLOOKUP(A181&amp;B181&amp;$E$1&amp;"DPMB_SOCKET0__COMPUTE"&amp;C181&amp;"__UNCORE__CHA__CHA"&amp;Check!F181&amp;"__UTIL__MC_STATUS"&amp;$B$1,cha_mc[VisualId]&amp;cha_mc[PPVRun_MC]&amp;cha_mc[Lot]&amp;cha_mc[TestNameWithoutNumeric],cha_mc[TestValue],"")</f>
        <v/>
      </c>
      <c r="H181" s="4" t="str">
        <f t="shared" si="14"/>
        <v/>
      </c>
      <c r="AK181" s="4" t="str">
        <f t="shared" si="15"/>
        <v/>
      </c>
      <c r="AL181" s="4"/>
      <c r="AM181" s="4" t="str">
        <f t="shared" si="16"/>
        <v/>
      </c>
      <c r="AN181" s="4" t="str">
        <f>IFERROR(_xlfn.XLOOKUP(HEX2DEC(MID(AM181,LEN(AM181)-7,4)),mscod[MSCOD_BY_VAL],mscod[Description],""),"")</f>
        <v/>
      </c>
      <c r="AO181" s="4" t="str" cm="1">
        <f t="array" ref="AO181">_xlfn.XLOOKUP($K$1&amp;$Q$1&amp;"DPMB_SOCKET0__COMPUTE"&amp;AK181&amp;"__UNCORE__CHA__CHA"&amp;AL181&amp;"__UTIL__MC_ADDR"&amp;$B$1,cha_mc[VisualId]&amp;cha_mc[UnitTestingSeqKey]&amp;cha_mc[TestName],cha_mc[TestValue],"")</f>
        <v/>
      </c>
      <c r="AP181" s="4" t="str" cm="1">
        <f t="array" ref="AP181">_xlfn.XLOOKUP($K$1&amp;$Q$1&amp;"DPMB_SOCKET0__COMPUTE"&amp;AK181&amp;"__UNCORE__CHA__CHA"&amp;AL181&amp;"__UTIL__MC_MISC"&amp;$B$1,cha_mc[VisualId]&amp;cha_mc[UnitTestingSeqKey]&amp;cha_mc[TestName],cha_mc[TestValue],"")</f>
        <v/>
      </c>
      <c r="AQ181" s="30"/>
      <c r="AR181" s="30"/>
      <c r="AS181" s="30"/>
      <c r="AT181" s="30"/>
      <c r="AU181" s="30"/>
      <c r="AV181" s="4" t="str" cm="1">
        <f t="array" ref="AV181">_xlfn.XLOOKUP($K$1&amp;$Q$1&amp;"DPMB_SOCKET0__COMPUTE"&amp;AK181&amp;"__UNCORE__CHA__CHA"&amp;AL181&amp;"__UTIL__MC_MISC3"&amp;$B$1,cha_mc[VisualId]&amp;cha_mc[UnitTestingSeqKey]&amp;cha_mc[TestName],cha_mc[TestValue],"")</f>
        <v/>
      </c>
      <c r="AW181" s="30"/>
      <c r="AX181" s="30"/>
      <c r="AY181" s="30"/>
      <c r="AZ181" s="30"/>
      <c r="BA181" s="30"/>
    </row>
    <row r="182" spans="1:53" x14ac:dyDescent="0.3">
      <c r="A182" s="4" t="str">
        <f t="shared" si="17"/>
        <v>74X97M1000031</v>
      </c>
      <c r="B182" s="4" t="str">
        <f t="shared" si="13"/>
        <v>1-1</v>
      </c>
      <c r="C182" s="4">
        <v>2</v>
      </c>
      <c r="D182" s="4">
        <v>178</v>
      </c>
      <c r="E182" s="4" t="str" cm="1">
        <f t="array" ref="E182">_xlfn.XLOOKUP(A182&amp;B182&amp;$E$1&amp;"DPMB_SOCKET0__COMPUTE"&amp;C182&amp;"__CPU__CORE"&amp;Check!D182&amp;"__ML2_CR_MC3_STATUS"&amp;$B$1,core_mc[VisualId]&amp;core_mc[PPVRun_MC]&amp;core_mc[Lot]&amp;core_mc[TestNameWithoutNumeric],core_mc[TestValue],"")</f>
        <v/>
      </c>
      <c r="F182" s="4">
        <v>178</v>
      </c>
      <c r="G182" s="4" t="str" cm="1">
        <f t="array" ref="G182">_xlfn.XLOOKUP(A182&amp;B182&amp;$E$1&amp;"DPMB_SOCKET0__COMPUTE"&amp;C182&amp;"__UNCORE__CHA__CHA"&amp;Check!F182&amp;"__UTIL__MC_STATUS"&amp;$B$1,cha_mc[VisualId]&amp;cha_mc[PPVRun_MC]&amp;cha_mc[Lot]&amp;cha_mc[TestNameWithoutNumeric],cha_mc[TestValue],"")</f>
        <v/>
      </c>
      <c r="H182" s="4" t="str">
        <f t="shared" si="14"/>
        <v/>
      </c>
      <c r="AK182" s="4" t="str">
        <f t="shared" si="15"/>
        <v/>
      </c>
      <c r="AL182" s="4"/>
      <c r="AM182" s="4" t="str">
        <f t="shared" si="16"/>
        <v/>
      </c>
      <c r="AN182" s="4" t="str">
        <f>IFERROR(_xlfn.XLOOKUP(HEX2DEC(MID(AM182,LEN(AM182)-7,4)),mscod[MSCOD_BY_VAL],mscod[Description],""),"")</f>
        <v/>
      </c>
      <c r="AO182" s="4" t="str" cm="1">
        <f t="array" ref="AO182">_xlfn.XLOOKUP($K$1&amp;$Q$1&amp;"DPMB_SOCKET0__COMPUTE"&amp;AK182&amp;"__UNCORE__CHA__CHA"&amp;AL182&amp;"__UTIL__MC_ADDR"&amp;$B$1,cha_mc[VisualId]&amp;cha_mc[UnitTestingSeqKey]&amp;cha_mc[TestName],cha_mc[TestValue],"")</f>
        <v/>
      </c>
      <c r="AP182" s="4" t="str" cm="1">
        <f t="array" ref="AP182">_xlfn.XLOOKUP($K$1&amp;$Q$1&amp;"DPMB_SOCKET0__COMPUTE"&amp;AK182&amp;"__UNCORE__CHA__CHA"&amp;AL182&amp;"__UTIL__MC_MISC"&amp;$B$1,cha_mc[VisualId]&amp;cha_mc[UnitTestingSeqKey]&amp;cha_mc[TestName],cha_mc[TestValue],"")</f>
        <v/>
      </c>
      <c r="AQ182" s="30"/>
      <c r="AR182" s="30"/>
      <c r="AS182" s="30"/>
      <c r="AT182" s="30"/>
      <c r="AU182" s="30"/>
      <c r="AV182" s="4" t="str" cm="1">
        <f t="array" ref="AV182">_xlfn.XLOOKUP($K$1&amp;$Q$1&amp;"DPMB_SOCKET0__COMPUTE"&amp;AK182&amp;"__UNCORE__CHA__CHA"&amp;AL182&amp;"__UTIL__MC_MISC3"&amp;$B$1,cha_mc[VisualId]&amp;cha_mc[UnitTestingSeqKey]&amp;cha_mc[TestName],cha_mc[TestValue],"")</f>
        <v/>
      </c>
      <c r="AW182" s="30"/>
      <c r="AX182" s="30"/>
      <c r="AY182" s="30"/>
      <c r="AZ182" s="30"/>
      <c r="BA182" s="30"/>
    </row>
    <row r="183" spans="1:53" x14ac:dyDescent="0.3">
      <c r="A183" s="4" t="str">
        <f t="shared" si="17"/>
        <v>74X97M1000031</v>
      </c>
      <c r="B183" s="4" t="str">
        <f t="shared" si="13"/>
        <v>1-1</v>
      </c>
      <c r="C183" s="4">
        <v>2</v>
      </c>
      <c r="D183" s="4">
        <v>179</v>
      </c>
      <c r="E183" s="4" t="str" cm="1">
        <f t="array" ref="E183">_xlfn.XLOOKUP(A183&amp;B183&amp;$E$1&amp;"DPMB_SOCKET0__COMPUTE"&amp;C183&amp;"__CPU__CORE"&amp;Check!D183&amp;"__ML2_CR_MC3_STATUS"&amp;$B$1,core_mc[VisualId]&amp;core_mc[PPVRun_MC]&amp;core_mc[Lot]&amp;core_mc[TestNameWithoutNumeric],core_mc[TestValue],"")</f>
        <v/>
      </c>
      <c r="F183" s="4">
        <v>179</v>
      </c>
      <c r="G183" s="4" t="str" cm="1">
        <f t="array" ref="G183">_xlfn.XLOOKUP(A183&amp;B183&amp;$E$1&amp;"DPMB_SOCKET0__COMPUTE"&amp;C183&amp;"__UNCORE__CHA__CHA"&amp;Check!F183&amp;"__UTIL__MC_STATUS"&amp;$B$1,cha_mc[VisualId]&amp;cha_mc[PPVRun_MC]&amp;cha_mc[Lot]&amp;cha_mc[TestNameWithoutNumeric],cha_mc[TestValue],"")</f>
        <v/>
      </c>
      <c r="H183" s="4" t="str">
        <f t="shared" si="14"/>
        <v/>
      </c>
      <c r="AK183" s="4" t="str">
        <f t="shared" si="15"/>
        <v/>
      </c>
      <c r="AL183" s="4"/>
      <c r="AM183" s="4" t="str">
        <f t="shared" si="16"/>
        <v/>
      </c>
      <c r="AN183" s="4" t="str">
        <f>IFERROR(_xlfn.XLOOKUP(HEX2DEC(MID(AM183,LEN(AM183)-7,4)),mscod[MSCOD_BY_VAL],mscod[Description],""),"")</f>
        <v/>
      </c>
      <c r="AO183" s="4" t="str" cm="1">
        <f t="array" ref="AO183">_xlfn.XLOOKUP($K$1&amp;$Q$1&amp;"DPMB_SOCKET0__COMPUTE"&amp;AK183&amp;"__UNCORE__CHA__CHA"&amp;AL183&amp;"__UTIL__MC_ADDR"&amp;$B$1,cha_mc[VisualId]&amp;cha_mc[UnitTestingSeqKey]&amp;cha_mc[TestName],cha_mc[TestValue],"")</f>
        <v/>
      </c>
      <c r="AP183" s="4" t="str" cm="1">
        <f t="array" ref="AP183">_xlfn.XLOOKUP($K$1&amp;$Q$1&amp;"DPMB_SOCKET0__COMPUTE"&amp;AK183&amp;"__UNCORE__CHA__CHA"&amp;AL183&amp;"__UTIL__MC_MISC"&amp;$B$1,cha_mc[VisualId]&amp;cha_mc[UnitTestingSeqKey]&amp;cha_mc[TestName],cha_mc[TestValue],"")</f>
        <v/>
      </c>
      <c r="AQ183" s="30"/>
      <c r="AR183" s="30"/>
      <c r="AS183" s="30"/>
      <c r="AT183" s="30"/>
      <c r="AU183" s="30"/>
      <c r="AV183" s="4" t="str" cm="1">
        <f t="array" ref="AV183">_xlfn.XLOOKUP($K$1&amp;$Q$1&amp;"DPMB_SOCKET0__COMPUTE"&amp;AK183&amp;"__UNCORE__CHA__CHA"&amp;AL183&amp;"__UTIL__MC_MISC3"&amp;$B$1,cha_mc[VisualId]&amp;cha_mc[UnitTestingSeqKey]&amp;cha_mc[TestName],cha_mc[TestValue],"")</f>
        <v/>
      </c>
      <c r="AW183" s="30"/>
      <c r="AX183" s="30"/>
      <c r="AY183" s="30"/>
      <c r="AZ183" s="30"/>
      <c r="BA183" s="30"/>
    </row>
    <row r="184" spans="1:53" x14ac:dyDescent="0.3">
      <c r="AK184" s="4" t="str">
        <f t="shared" si="15"/>
        <v/>
      </c>
      <c r="AL184" s="4"/>
      <c r="AM184" s="4" t="str">
        <f t="shared" si="16"/>
        <v/>
      </c>
      <c r="AN184" s="4" t="str">
        <f>IFERROR(_xlfn.XLOOKUP(HEX2DEC(MID(AM184,LEN(AM184)-7,4)),mscod[MSCOD_BY_VAL],mscod[Description],""),"")</f>
        <v/>
      </c>
      <c r="AO184" s="4" t="str" cm="1">
        <f t="array" ref="AO184">_xlfn.XLOOKUP($K$1&amp;$Q$1&amp;"DPMB_SOCKET0__COMPUTE"&amp;AK184&amp;"__UNCORE__CHA__CHA"&amp;AL184&amp;"__UTIL__MC_ADDR"&amp;$B$1,cha_mc[VisualId]&amp;cha_mc[UnitTestingSeqKey]&amp;cha_mc[TestName],cha_mc[TestValue],"")</f>
        <v/>
      </c>
      <c r="AP184" s="4" t="str" cm="1">
        <f t="array" ref="AP184">_xlfn.XLOOKUP($K$1&amp;$Q$1&amp;"DPMB_SOCKET0__COMPUTE"&amp;AK184&amp;"__UNCORE__CHA__CHA"&amp;AL184&amp;"__UTIL__MC_MISC"&amp;$B$1,cha_mc[VisualId]&amp;cha_mc[UnitTestingSeqKey]&amp;cha_mc[TestName],cha_mc[TestValue],"")</f>
        <v/>
      </c>
      <c r="AQ184" s="30"/>
      <c r="AR184" s="30"/>
      <c r="AS184" s="30"/>
      <c r="AT184" s="30"/>
      <c r="AU184" s="30"/>
      <c r="AV184" s="4" t="str" cm="1">
        <f t="array" ref="AV184">_xlfn.XLOOKUP($K$1&amp;$Q$1&amp;"DPMB_SOCKET0__COMPUTE"&amp;AK184&amp;"__UNCORE__CHA__CHA"&amp;AL184&amp;"__UTIL__MC_MISC3"&amp;$B$1,cha_mc[VisualId]&amp;cha_mc[UnitTestingSeqKey]&amp;cha_mc[TestName],cha_mc[TestValue],"")</f>
        <v/>
      </c>
      <c r="AW184" s="30"/>
      <c r="AX184" s="30"/>
      <c r="AY184" s="30"/>
      <c r="AZ184" s="30"/>
      <c r="BA184" s="30"/>
    </row>
  </sheetData>
  <mergeCells count="423">
    <mergeCell ref="AE19:AE20"/>
    <mergeCell ref="AA21:AA22"/>
    <mergeCell ref="AC21:AD22"/>
    <mergeCell ref="AE21:AE22"/>
    <mergeCell ref="AA15:AA16"/>
    <mergeCell ref="AC15:AD16"/>
    <mergeCell ref="AE23:AE24"/>
    <mergeCell ref="K25:L25"/>
    <mergeCell ref="M25:N25"/>
    <mergeCell ref="O25:P25"/>
    <mergeCell ref="Q25:R25"/>
    <mergeCell ref="S25:T25"/>
    <mergeCell ref="U25:V25"/>
    <mergeCell ref="W25:X25"/>
    <mergeCell ref="Y25:Z25"/>
    <mergeCell ref="AA25:AB25"/>
    <mergeCell ref="AC25:AD25"/>
    <mergeCell ref="Q23:Q24"/>
    <mergeCell ref="S23:S24"/>
    <mergeCell ref="U23:U24"/>
    <mergeCell ref="W23:W24"/>
    <mergeCell ref="Y23:Y24"/>
    <mergeCell ref="Q19:Q20"/>
    <mergeCell ref="S19:S20"/>
    <mergeCell ref="J19:J20"/>
    <mergeCell ref="K19:L20"/>
    <mergeCell ref="M19:M20"/>
    <mergeCell ref="O19:O20"/>
    <mergeCell ref="R2:S2"/>
    <mergeCell ref="T2:W2"/>
    <mergeCell ref="K1:N1"/>
    <mergeCell ref="AA23:AA24"/>
    <mergeCell ref="AC23:AD24"/>
    <mergeCell ref="AA19:AA20"/>
    <mergeCell ref="AC19:AD20"/>
    <mergeCell ref="J21:J22"/>
    <mergeCell ref="K21:L22"/>
    <mergeCell ref="M21:M22"/>
    <mergeCell ref="O21:O22"/>
    <mergeCell ref="Q21:Q22"/>
    <mergeCell ref="S21:S22"/>
    <mergeCell ref="U21:U22"/>
    <mergeCell ref="W21:W22"/>
    <mergeCell ref="Y21:Y22"/>
    <mergeCell ref="J23:J24"/>
    <mergeCell ref="K23:L24"/>
    <mergeCell ref="M23:M24"/>
    <mergeCell ref="O23:O24"/>
    <mergeCell ref="U19:U20"/>
    <mergeCell ref="W19:W20"/>
    <mergeCell ref="Y19:Y20"/>
    <mergeCell ref="AC17:AD18"/>
    <mergeCell ref="AE17:AE18"/>
    <mergeCell ref="J15:J16"/>
    <mergeCell ref="K15:L16"/>
    <mergeCell ref="M15:M16"/>
    <mergeCell ref="O15:O16"/>
    <mergeCell ref="Q15:Q16"/>
    <mergeCell ref="S15:S16"/>
    <mergeCell ref="U15:U16"/>
    <mergeCell ref="W15:W16"/>
    <mergeCell ref="Y15:Y16"/>
    <mergeCell ref="J17:J18"/>
    <mergeCell ref="K17:L18"/>
    <mergeCell ref="M17:M18"/>
    <mergeCell ref="O17:O18"/>
    <mergeCell ref="Q17:Q18"/>
    <mergeCell ref="S17:S18"/>
    <mergeCell ref="U17:U18"/>
    <mergeCell ref="W17:W18"/>
    <mergeCell ref="Y17:Y18"/>
    <mergeCell ref="AE15:AE16"/>
    <mergeCell ref="AE11:AE12"/>
    <mergeCell ref="J13:J14"/>
    <mergeCell ref="K13:K14"/>
    <mergeCell ref="M13:M14"/>
    <mergeCell ref="O13:O14"/>
    <mergeCell ref="Q13:Q14"/>
    <mergeCell ref="S13:S14"/>
    <mergeCell ref="U13:U14"/>
    <mergeCell ref="W13:W14"/>
    <mergeCell ref="Y13:Y14"/>
    <mergeCell ref="AA13:AA14"/>
    <mergeCell ref="AC13:AC14"/>
    <mergeCell ref="AE13:AE14"/>
    <mergeCell ref="AA17:AA18"/>
    <mergeCell ref="W10:X10"/>
    <mergeCell ref="Y10:Z10"/>
    <mergeCell ref="AA10:AB10"/>
    <mergeCell ref="AC10:AD10"/>
    <mergeCell ref="J11:J12"/>
    <mergeCell ref="K11:K12"/>
    <mergeCell ref="M11:M12"/>
    <mergeCell ref="O11:O12"/>
    <mergeCell ref="Q11:Q12"/>
    <mergeCell ref="S11:S12"/>
    <mergeCell ref="U11:U12"/>
    <mergeCell ref="W11:W12"/>
    <mergeCell ref="Y11:Y12"/>
    <mergeCell ref="AA11:AA12"/>
    <mergeCell ref="AC11:AC12"/>
    <mergeCell ref="J3:AE3"/>
    <mergeCell ref="K4:L4"/>
    <mergeCell ref="M4:N4"/>
    <mergeCell ref="O4:P4"/>
    <mergeCell ref="Q4:R4"/>
    <mergeCell ref="S4:T4"/>
    <mergeCell ref="U4:V4"/>
    <mergeCell ref="W4:X4"/>
    <mergeCell ref="Y4:Z4"/>
    <mergeCell ref="AA4:AB4"/>
    <mergeCell ref="AC4:AD4"/>
    <mergeCell ref="AC5:AD5"/>
    <mergeCell ref="K6:L6"/>
    <mergeCell ref="M6:N6"/>
    <mergeCell ref="O6:P6"/>
    <mergeCell ref="Q6:R6"/>
    <mergeCell ref="S6:T6"/>
    <mergeCell ref="U6:V6"/>
    <mergeCell ref="W6:X6"/>
    <mergeCell ref="Y6:Z6"/>
    <mergeCell ref="AA6:AB6"/>
    <mergeCell ref="AC6:AD6"/>
    <mergeCell ref="K5:L5"/>
    <mergeCell ref="M5:N5"/>
    <mergeCell ref="O5:P5"/>
    <mergeCell ref="Q5:R5"/>
    <mergeCell ref="S5:T5"/>
    <mergeCell ref="U5:V5"/>
    <mergeCell ref="W5:X5"/>
    <mergeCell ref="Y5:Z5"/>
    <mergeCell ref="AA5:AB5"/>
    <mergeCell ref="K7:L7"/>
    <mergeCell ref="M7:N7"/>
    <mergeCell ref="O7:P7"/>
    <mergeCell ref="Q7:R7"/>
    <mergeCell ref="S7:T7"/>
    <mergeCell ref="U7:V7"/>
    <mergeCell ref="W7:X7"/>
    <mergeCell ref="Y7:Z7"/>
    <mergeCell ref="AA7:AB7"/>
    <mergeCell ref="J26:AE26"/>
    <mergeCell ref="K27:L27"/>
    <mergeCell ref="M27:N27"/>
    <mergeCell ref="O27:P27"/>
    <mergeCell ref="Q27:R27"/>
    <mergeCell ref="S27:T27"/>
    <mergeCell ref="AC8:AD8"/>
    <mergeCell ref="J9:AE9"/>
    <mergeCell ref="AC7:AD7"/>
    <mergeCell ref="K8:L8"/>
    <mergeCell ref="M8:N8"/>
    <mergeCell ref="O8:P8"/>
    <mergeCell ref="Q8:R8"/>
    <mergeCell ref="S8:T8"/>
    <mergeCell ref="U8:V8"/>
    <mergeCell ref="W8:X8"/>
    <mergeCell ref="Y8:Z8"/>
    <mergeCell ref="AA8:AB8"/>
    <mergeCell ref="K10:L10"/>
    <mergeCell ref="M10:N10"/>
    <mergeCell ref="O10:P10"/>
    <mergeCell ref="Q10:R10"/>
    <mergeCell ref="S10:T10"/>
    <mergeCell ref="U10:V10"/>
    <mergeCell ref="U27:V27"/>
    <mergeCell ref="W27:X27"/>
    <mergeCell ref="Y27:Z27"/>
    <mergeCell ref="AA27:AB27"/>
    <mergeCell ref="AC27:AD27"/>
    <mergeCell ref="J28:J29"/>
    <mergeCell ref="K28:K29"/>
    <mergeCell ref="M28:M29"/>
    <mergeCell ref="O28:O29"/>
    <mergeCell ref="Q28:Q29"/>
    <mergeCell ref="AE28:AE29"/>
    <mergeCell ref="J30:J31"/>
    <mergeCell ref="K30:K31"/>
    <mergeCell ref="M30:M31"/>
    <mergeCell ref="O30:O31"/>
    <mergeCell ref="Q30:Q31"/>
    <mergeCell ref="S30:S31"/>
    <mergeCell ref="U30:U31"/>
    <mergeCell ref="W30:W31"/>
    <mergeCell ref="Y30:Y31"/>
    <mergeCell ref="S28:S29"/>
    <mergeCell ref="U28:U29"/>
    <mergeCell ref="W28:W29"/>
    <mergeCell ref="Y28:Y29"/>
    <mergeCell ref="AA28:AA29"/>
    <mergeCell ref="AC28:AC29"/>
    <mergeCell ref="AA30:AA31"/>
    <mergeCell ref="AC30:AC31"/>
    <mergeCell ref="AE30:AE31"/>
    <mergeCell ref="AA32:AA33"/>
    <mergeCell ref="AC32:AD33"/>
    <mergeCell ref="AE32:AE33"/>
    <mergeCell ref="J34:J35"/>
    <mergeCell ref="K34:L35"/>
    <mergeCell ref="M34:M35"/>
    <mergeCell ref="O34:O35"/>
    <mergeCell ref="Q34:Q35"/>
    <mergeCell ref="AE34:AE35"/>
    <mergeCell ref="S34:S35"/>
    <mergeCell ref="U34:U35"/>
    <mergeCell ref="W34:W35"/>
    <mergeCell ref="Y34:Y35"/>
    <mergeCell ref="AA34:AA35"/>
    <mergeCell ref="AC34:AD35"/>
    <mergeCell ref="J32:J33"/>
    <mergeCell ref="K32:L33"/>
    <mergeCell ref="M32:M33"/>
    <mergeCell ref="O32:O33"/>
    <mergeCell ref="Q32:Q33"/>
    <mergeCell ref="S32:S33"/>
    <mergeCell ref="U32:U33"/>
    <mergeCell ref="W32:W33"/>
    <mergeCell ref="Y32:Y33"/>
    <mergeCell ref="AA36:AA37"/>
    <mergeCell ref="AC36:AD37"/>
    <mergeCell ref="AE36:AE37"/>
    <mergeCell ref="J38:J39"/>
    <mergeCell ref="K38:L39"/>
    <mergeCell ref="M38:M39"/>
    <mergeCell ref="O38:O39"/>
    <mergeCell ref="Q38:Q39"/>
    <mergeCell ref="S38:S39"/>
    <mergeCell ref="U38:U39"/>
    <mergeCell ref="W38:W39"/>
    <mergeCell ref="Y38:Y39"/>
    <mergeCell ref="AA38:AA39"/>
    <mergeCell ref="AC38:AD39"/>
    <mergeCell ref="AE38:AE39"/>
    <mergeCell ref="J36:J37"/>
    <mergeCell ref="K36:L37"/>
    <mergeCell ref="M36:M37"/>
    <mergeCell ref="O36:O37"/>
    <mergeCell ref="Q36:Q37"/>
    <mergeCell ref="S36:S37"/>
    <mergeCell ref="U36:U37"/>
    <mergeCell ref="W36:W37"/>
    <mergeCell ref="Y36:Y37"/>
    <mergeCell ref="J40:J41"/>
    <mergeCell ref="K40:L41"/>
    <mergeCell ref="M40:M41"/>
    <mergeCell ref="O40:O41"/>
    <mergeCell ref="Q40:Q41"/>
    <mergeCell ref="AE40:AE41"/>
    <mergeCell ref="K42:L42"/>
    <mergeCell ref="M42:N42"/>
    <mergeCell ref="O42:P42"/>
    <mergeCell ref="Q42:R42"/>
    <mergeCell ref="S42:T42"/>
    <mergeCell ref="U42:V42"/>
    <mergeCell ref="W42:X42"/>
    <mergeCell ref="Y42:Z42"/>
    <mergeCell ref="AA42:AB42"/>
    <mergeCell ref="S40:S41"/>
    <mergeCell ref="U40:U41"/>
    <mergeCell ref="W40:W41"/>
    <mergeCell ref="Y40:Y41"/>
    <mergeCell ref="AA40:AA41"/>
    <mergeCell ref="AC40:AD41"/>
    <mergeCell ref="AC42:AD42"/>
    <mergeCell ref="J43:AE43"/>
    <mergeCell ref="K44:L44"/>
    <mergeCell ref="M44:N44"/>
    <mergeCell ref="O44:P44"/>
    <mergeCell ref="Q44:R44"/>
    <mergeCell ref="S44:T44"/>
    <mergeCell ref="U44:V44"/>
    <mergeCell ref="W44:X44"/>
    <mergeCell ref="Y44:Z44"/>
    <mergeCell ref="J47:J48"/>
    <mergeCell ref="K47:K48"/>
    <mergeCell ref="M47:M48"/>
    <mergeCell ref="O47:O48"/>
    <mergeCell ref="Q47:Q48"/>
    <mergeCell ref="S47:S48"/>
    <mergeCell ref="AA44:AB44"/>
    <mergeCell ref="AC44:AD44"/>
    <mergeCell ref="J45:J46"/>
    <mergeCell ref="K45:K46"/>
    <mergeCell ref="M45:M46"/>
    <mergeCell ref="O45:O46"/>
    <mergeCell ref="Q45:Q46"/>
    <mergeCell ref="S45:S46"/>
    <mergeCell ref="U45:U46"/>
    <mergeCell ref="W45:W46"/>
    <mergeCell ref="U47:U48"/>
    <mergeCell ref="W47:W48"/>
    <mergeCell ref="Y47:Y48"/>
    <mergeCell ref="AA47:AA48"/>
    <mergeCell ref="AC47:AC48"/>
    <mergeCell ref="AE47:AE48"/>
    <mergeCell ref="Y45:Y46"/>
    <mergeCell ref="AA45:AA46"/>
    <mergeCell ref="AC45:AC46"/>
    <mergeCell ref="AE45:AE46"/>
    <mergeCell ref="U49:U50"/>
    <mergeCell ref="W49:W50"/>
    <mergeCell ref="Y49:Y50"/>
    <mergeCell ref="AA49:AA50"/>
    <mergeCell ref="AC49:AD50"/>
    <mergeCell ref="AE49:AE50"/>
    <mergeCell ref="J49:J50"/>
    <mergeCell ref="K49:L50"/>
    <mergeCell ref="M49:M50"/>
    <mergeCell ref="O49:O50"/>
    <mergeCell ref="Q49:Q50"/>
    <mergeCell ref="S49:S50"/>
    <mergeCell ref="U51:U52"/>
    <mergeCell ref="W51:W52"/>
    <mergeCell ref="Y51:Y52"/>
    <mergeCell ref="AA51:AA52"/>
    <mergeCell ref="AC51:AD52"/>
    <mergeCell ref="AE51:AE52"/>
    <mergeCell ref="J51:J52"/>
    <mergeCell ref="K51:L52"/>
    <mergeCell ref="M51:M52"/>
    <mergeCell ref="O51:O52"/>
    <mergeCell ref="Q51:Q52"/>
    <mergeCell ref="S51:S52"/>
    <mergeCell ref="U53:U54"/>
    <mergeCell ref="W53:W54"/>
    <mergeCell ref="Y53:Y54"/>
    <mergeCell ref="AA53:AA54"/>
    <mergeCell ref="AC53:AD54"/>
    <mergeCell ref="AE53:AE54"/>
    <mergeCell ref="J53:J54"/>
    <mergeCell ref="K53:L54"/>
    <mergeCell ref="M53:M54"/>
    <mergeCell ref="O53:O54"/>
    <mergeCell ref="Q53:Q54"/>
    <mergeCell ref="S53:S54"/>
    <mergeCell ref="U55:U56"/>
    <mergeCell ref="W55:W56"/>
    <mergeCell ref="Y55:Y56"/>
    <mergeCell ref="AA55:AA56"/>
    <mergeCell ref="AC55:AD56"/>
    <mergeCell ref="AE55:AE56"/>
    <mergeCell ref="J55:J56"/>
    <mergeCell ref="K55:L56"/>
    <mergeCell ref="M55:M56"/>
    <mergeCell ref="O55:O56"/>
    <mergeCell ref="Q55:Q56"/>
    <mergeCell ref="S55:S56"/>
    <mergeCell ref="AC57:AD58"/>
    <mergeCell ref="AE57:AE58"/>
    <mergeCell ref="J57:J58"/>
    <mergeCell ref="K57:L58"/>
    <mergeCell ref="M57:M58"/>
    <mergeCell ref="O57:O58"/>
    <mergeCell ref="Q57:Q58"/>
    <mergeCell ref="S57:S58"/>
    <mergeCell ref="M59:N59"/>
    <mergeCell ref="O59:P59"/>
    <mergeCell ref="Q59:R59"/>
    <mergeCell ref="S59:T59"/>
    <mergeCell ref="U59:V59"/>
    <mergeCell ref="AC59:AD59"/>
    <mergeCell ref="K59:L59"/>
    <mergeCell ref="U57:U58"/>
    <mergeCell ref="W57:W58"/>
    <mergeCell ref="Y57:Y58"/>
    <mergeCell ref="AA57:AA58"/>
    <mergeCell ref="Q62:R62"/>
    <mergeCell ref="S62:T62"/>
    <mergeCell ref="J60:AE60"/>
    <mergeCell ref="K61:L61"/>
    <mergeCell ref="M61:N61"/>
    <mergeCell ref="O61:P61"/>
    <mergeCell ref="Q61:R61"/>
    <mergeCell ref="S61:T61"/>
    <mergeCell ref="Y62:Z62"/>
    <mergeCell ref="AA62:AB62"/>
    <mergeCell ref="AC62:AD62"/>
    <mergeCell ref="K62:L62"/>
    <mergeCell ref="M62:N62"/>
    <mergeCell ref="K63:L63"/>
    <mergeCell ref="M63:N63"/>
    <mergeCell ref="O63:P63"/>
    <mergeCell ref="Q63:R63"/>
    <mergeCell ref="S63:T63"/>
    <mergeCell ref="U63:V63"/>
    <mergeCell ref="W63:X63"/>
    <mergeCell ref="AS2:AU2"/>
    <mergeCell ref="AY2:BA2"/>
    <mergeCell ref="K2:Q2"/>
    <mergeCell ref="AC63:AD63"/>
    <mergeCell ref="Y63:Z63"/>
    <mergeCell ref="AA63:AB63"/>
    <mergeCell ref="U61:V61"/>
    <mergeCell ref="W61:X61"/>
    <mergeCell ref="Y61:Z61"/>
    <mergeCell ref="AA61:AB61"/>
    <mergeCell ref="W59:X59"/>
    <mergeCell ref="Y59:Z59"/>
    <mergeCell ref="AA59:AB59"/>
    <mergeCell ref="U62:V62"/>
    <mergeCell ref="W62:X62"/>
    <mergeCell ref="AC61:AD61"/>
    <mergeCell ref="O62:P62"/>
    <mergeCell ref="AC65:AD65"/>
    <mergeCell ref="U64:V64"/>
    <mergeCell ref="W64:X64"/>
    <mergeCell ref="Y64:Z64"/>
    <mergeCell ref="AA64:AB64"/>
    <mergeCell ref="AC64:AD64"/>
    <mergeCell ref="K65:L65"/>
    <mergeCell ref="M65:N65"/>
    <mergeCell ref="O65:P65"/>
    <mergeCell ref="Q65:R65"/>
    <mergeCell ref="S65:T65"/>
    <mergeCell ref="U65:V65"/>
    <mergeCell ref="W65:X65"/>
    <mergeCell ref="Y65:Z65"/>
    <mergeCell ref="AA65:AB65"/>
    <mergeCell ref="K64:L64"/>
    <mergeCell ref="M64:N64"/>
    <mergeCell ref="O64:P64"/>
    <mergeCell ref="Q64:R64"/>
    <mergeCell ref="S64:T64"/>
  </mergeCells>
  <phoneticPr fontId="2" type="noConversion"/>
  <dataValidations count="3">
    <dataValidation type="list" allowBlank="1" showInputMessage="1" showErrorMessage="1" sqref="Q1" xr:uid="{A0F3AE20-E96D-44AF-AAD9-62D954B12920}">
      <formula1>$AI$4:$AI$16</formula1>
    </dataValidation>
    <dataValidation type="list" allowBlank="1" showInputMessage="1" showErrorMessage="1" sqref="T1" xr:uid="{8B766AB2-5F07-48D1-9FE8-1BC0ECA2607B}">
      <formula1>$AH$4:$AH$16</formula1>
    </dataValidation>
    <dataValidation type="list" allowBlank="1" showInputMessage="1" showErrorMessage="1" sqref="E1" xr:uid="{69D509F1-36D2-4089-8CCC-4C616D90D546}">
      <formula1>$AG$4:$AG$16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HighlightCells">
                <anchor moveWithCells="1" sizeWithCells="1">
                  <from>
                    <xdr:col>25</xdr:col>
                    <xdr:colOff>281940</xdr:colOff>
                    <xdr:row>0</xdr:row>
                    <xdr:rowOff>190500</xdr:rowOff>
                  </from>
                  <to>
                    <xdr:col>30</xdr:col>
                    <xdr:colOff>152400</xdr:colOff>
                    <xdr:row>1</xdr:row>
                    <xdr:rowOff>304800</xdr:rowOff>
                  </to>
                </anchor>
              </controlPr>
            </control>
          </mc:Choice>
        </mc:AlternateContent>
        <mc:AlternateContent xmlns:mc="http://schemas.openxmlformats.org/markup-compatibility/2006">
          <mc:Choice Requires="x14">
            <control shapeId="4098" r:id="rId4" name="Button 2">
              <controlPr defaultSize="0" print="0" autoFill="0" autoPict="0" macro="[0]!ReadMISCdata">
                <anchor moveWithCells="1" sizeWithCells="1">
                  <from>
                    <xdr:col>41</xdr:col>
                    <xdr:colOff>30480</xdr:colOff>
                    <xdr:row>0</xdr:row>
                    <xdr:rowOff>327660</xdr:rowOff>
                  </from>
                  <to>
                    <xdr:col>43</xdr:col>
                    <xdr:colOff>312420</xdr:colOff>
                    <xdr:row>1</xdr:row>
                    <xdr:rowOff>449580</xdr:rowOff>
                  </to>
                </anchor>
              </controlPr>
            </control>
          </mc:Choice>
        </mc:AlternateContent>
        <mc:AlternateContent xmlns:mc="http://schemas.openxmlformats.org/markup-compatibility/2006">
          <mc:Choice Requires="x14">
            <control shapeId="4100" r:id="rId5" name="Button 4">
              <controlPr defaultSize="0" print="0" autoFill="0" autoPict="0" macro="[0]!UpdateMisc">
                <anchor moveWithCells="1" sizeWithCells="1">
                  <from>
                    <xdr:col>30</xdr:col>
                    <xdr:colOff>350520</xdr:colOff>
                    <xdr:row>0</xdr:row>
                    <xdr:rowOff>182880</xdr:rowOff>
                  </from>
                  <to>
                    <xdr:col>34</xdr:col>
                    <xdr:colOff>0</xdr:colOff>
                    <xdr:row>1</xdr:row>
                    <xdr:rowOff>297180</xdr:rowOff>
                  </to>
                </anchor>
              </controlPr>
            </control>
          </mc:Choice>
        </mc:AlternateContent>
        <mc:AlternateContent xmlns:mc="http://schemas.openxmlformats.org/markup-compatibility/2006">
          <mc:Choice Requires="x14">
            <control shapeId="4099" r:id="rId6" name="Button 3">
              <controlPr defaultSize="0" print="0" autoFill="0" autoPict="0" macro="[0]!ReadHexBits">
                <anchor moveWithCells="1" sizeWithCells="1">
                  <from>
                    <xdr:col>47</xdr:col>
                    <xdr:colOff>167640</xdr:colOff>
                    <xdr:row>1</xdr:row>
                    <xdr:rowOff>38100</xdr:rowOff>
                  </from>
                  <to>
                    <xdr:col>49</xdr:col>
                    <xdr:colOff>601980</xdr:colOff>
                    <xdr:row>1</xdr:row>
                    <xdr:rowOff>426720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B688042-F5BF-4E71-90BC-C6134063E61C}">
          <x14:formula1>
            <xm:f>_xlfn.ANCHORARRAY(Units!$A$2)</xm:f>
          </x14:formula1>
          <xm:sqref>K1:N1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ED037-955C-40FA-9ED1-92A120203B16}">
  <sheetPr codeName="Sheet7">
    <tabColor rgb="FFFFFF00"/>
  </sheetPr>
  <dimension ref="A1:S8"/>
  <sheetViews>
    <sheetView workbookViewId="0">
      <selection activeCell="C31" sqref="C31"/>
    </sheetView>
  </sheetViews>
  <sheetFormatPr defaultRowHeight="14.4" x14ac:dyDescent="0.3"/>
  <cols>
    <col min="1" max="1" width="10.5546875" customWidth="1"/>
    <col min="2" max="2" width="9.6640625" bestFit="1" customWidth="1"/>
    <col min="3" max="3" width="50.44140625" customWidth="1"/>
    <col min="5" max="5" width="9.6640625" customWidth="1"/>
    <col min="6" max="6" width="11.109375" bestFit="1" customWidth="1"/>
    <col min="7" max="7" width="9.5546875" bestFit="1" customWidth="1"/>
    <col min="8" max="8" width="9" bestFit="1" customWidth="1"/>
    <col min="9" max="9" width="10" bestFit="1" customWidth="1"/>
    <col min="10" max="10" width="8.33203125" bestFit="1" customWidth="1"/>
    <col min="11" max="11" width="7.6640625" bestFit="1" customWidth="1"/>
    <col min="12" max="12" width="10.109375" bestFit="1" customWidth="1"/>
    <col min="13" max="13" width="5.5546875" bestFit="1" customWidth="1"/>
    <col min="14" max="14" width="7.33203125" bestFit="1" customWidth="1"/>
    <col min="15" max="15" width="5.21875" bestFit="1" customWidth="1"/>
    <col min="16" max="16" width="5.5546875" bestFit="1" customWidth="1"/>
    <col min="18" max="18" width="6.33203125" bestFit="1" customWidth="1"/>
    <col min="19" max="19" width="9.33203125" bestFit="1" customWidth="1"/>
  </cols>
  <sheetData>
    <row r="1" spans="1:19" x14ac:dyDescent="0.3">
      <c r="B1" s="4" t="s">
        <v>617</v>
      </c>
      <c r="C1" s="19" t="s">
        <v>182</v>
      </c>
    </row>
    <row r="2" spans="1:19" x14ac:dyDescent="0.3">
      <c r="B2" s="4" t="s">
        <v>181</v>
      </c>
      <c r="C2" s="4" t="str">
        <f>_xlfn.XLOOKUP(C1,ppv[VisualId],ppv[DpmBucket],"")</f>
        <v/>
      </c>
    </row>
    <row r="3" spans="1:19" x14ac:dyDescent="0.3">
      <c r="B3" s="52" t="s">
        <v>624</v>
      </c>
      <c r="C3" s="44" t="str">
        <f>_xlfn.XLOOKUP(C1,ppv[VisualId],ppv[BinDesc],"")</f>
        <v/>
      </c>
      <c r="D3" s="44"/>
      <c r="E3" s="44"/>
      <c r="F3" s="44"/>
      <c r="G3" s="44"/>
      <c r="H3" s="44"/>
    </row>
    <row r="4" spans="1:19" x14ac:dyDescent="0.3">
      <c r="B4" s="52"/>
      <c r="C4" s="44"/>
      <c r="D4" s="44"/>
      <c r="E4" s="44"/>
      <c r="F4" s="44"/>
      <c r="G4" s="44"/>
      <c r="H4" s="44"/>
    </row>
    <row r="5" spans="1:19" ht="15" thickBot="1" x14ac:dyDescent="0.35">
      <c r="B5" s="52"/>
      <c r="C5" s="44"/>
      <c r="D5" s="44"/>
      <c r="E5" s="44"/>
      <c r="F5" s="44"/>
      <c r="G5" s="44"/>
      <c r="H5" s="44"/>
    </row>
    <row r="6" spans="1:19" ht="21.6" thickBot="1" x14ac:dyDescent="0.35">
      <c r="L6" s="39" t="s">
        <v>195</v>
      </c>
      <c r="M6" s="40"/>
      <c r="N6" s="41"/>
      <c r="Q6" s="39" t="s">
        <v>204</v>
      </c>
      <c r="R6" s="40"/>
      <c r="S6" s="41"/>
    </row>
    <row r="7" spans="1:19" x14ac:dyDescent="0.3">
      <c r="A7" s="30" t="s">
        <v>618</v>
      </c>
      <c r="B7" s="30" t="s">
        <v>7</v>
      </c>
      <c r="C7" s="35" t="s">
        <v>133</v>
      </c>
      <c r="D7" s="35" t="s">
        <v>619</v>
      </c>
      <c r="E7" s="35" t="s">
        <v>133</v>
      </c>
      <c r="F7" s="35" t="s">
        <v>620</v>
      </c>
      <c r="G7" s="35" t="s">
        <v>621</v>
      </c>
      <c r="H7" s="35" t="s">
        <v>622</v>
      </c>
      <c r="I7" s="35" t="s">
        <v>623</v>
      </c>
      <c r="J7" s="31" t="s">
        <v>196</v>
      </c>
      <c r="K7" s="29" t="s">
        <v>197</v>
      </c>
      <c r="L7" s="29" t="s">
        <v>198</v>
      </c>
      <c r="M7" s="29" t="s">
        <v>199</v>
      </c>
      <c r="N7" s="29" t="s">
        <v>200</v>
      </c>
      <c r="O7" s="31" t="s">
        <v>206</v>
      </c>
      <c r="P7" s="32" t="s">
        <v>207</v>
      </c>
      <c r="Q7" s="32" t="s">
        <v>208</v>
      </c>
      <c r="R7" s="32" t="s">
        <v>209</v>
      </c>
      <c r="S7" s="32" t="s">
        <v>210</v>
      </c>
    </row>
    <row r="8" spans="1:19" x14ac:dyDescent="0.3">
      <c r="A8" t="e" cm="1" vm="1">
        <f t="array" ref="A8">_xlfn.TEXTSPLIT(SUBSTITUTE(_xlfn._xlws.FILTER(_xlfn.UNIQUE(cha_mc[VisualId]&amp;cha_mc[PPVRun_MC]&amp;"|"&amp;cha_mc[TestName]),ISNUMBER(SEARCH(C1&amp; "*CHA*UTIL__MC_STATUS*", _xlfn.UNIQUE(cha_mc[VisualId]&amp;cha_mc[PPVRun_MC]&amp;"|"&amp;cha_mc[TestName])))),C1,""),"|")</f>
        <v>#VALUE!</v>
      </c>
      <c r="B8" t="e" cm="1" vm="1">
        <f t="array" ref="B8">_xlfn.TEXTSPLIT(SUBSTITUTE(_xlfn._xlws.FILTER(_xlfn.UNIQUE(cha_mc[VisualId]&amp;cha_mc[Operation]&amp;"|"&amp;cha_mc[PPVRun_MC]&amp;cha_mc[TestName]),ISNUMBER(SEARCH(C1 &amp; "*CHA*UTIL__MC_STATUS*", _xlfn.UNIQUE(cha_mc[VisualId]&amp;cha_mc[Operation]&amp;"|"&amp;cha_mc[PPVRun_MC]&amp;cha_mc[TestName])))),C1,""),"|")</f>
        <v>#VALUE!</v>
      </c>
      <c r="C8" t="e" cm="1" vm="1">
        <f t="array" ref="C8">SUBSTITUTE(_xlfn.TEXTSPLIT(SUBSTITUTE(_xlfn._xlws.FILTER(_xlfn.UNIQUE(cha_mc[VisualId]&amp;cha_mc[TestName]&amp;"|"&amp;cha_mc[PPVRun_MC]),ISNUMBER(SEARCH(C1 &amp; "*CHA*UTIL__MC_STATUS*", _xlfn.UNIQUE(cha_mc[VisualId]&amp;cha_mc[TestName]&amp;"|"&amp;cha_mc[PPVRun_MC])))),C1,""),"|"),"*CHA*UTIL__MC_STATUS*","")</f>
        <v>#VALUE!</v>
      </c>
      <c r="D8" t="e" cm="1" vm="2">
        <f t="array" ref="D8">MID(_xlfn.ANCHORARRAY(C8),SEARCH("COMPUTE",_xlfn.ANCHORARRAY(C8))+7,1)</f>
        <v>#VALUE!</v>
      </c>
      <c r="E8" t="e" cm="1" vm="2">
        <f t="array" ref="E8">MID(_xlfn.ANCHORARRAY(C8),SEARCH("__CHA__",_xlfn.ANCHORARRAY(C8))+7,SEARCH("__UTIL",_xlfn.ANCHORARRAY(C8))-SEARCH("__CHA__",_xlfn.ANCHORARRAY(C8))-7)</f>
        <v>#VALUE!</v>
      </c>
      <c r="F8" t="e" cm="1" vm="2">
        <f t="array" ref="F8">_xlfn.XLOOKUP($C$1&amp;_xlfn.ANCHORARRAY(A8)&amp;"DPMB_SOCKET0__COMPUTE"&amp;_xlfn.ANCHORARRAY(D8)&amp;"__UNCORE__CHA__"&amp;_xlfn.ANCHORARRAY(E8)&amp;"__UTIL__MC_STATUS_"&amp;_xlfn.ANCHORARRAY(B8),cha_mc[VisualId]&amp;cha_mc[PPVRun_MC]&amp;cha_mc[TestNameWithoutNumeric],cha_mc[TestValue],"")</f>
        <v>#VALUE!</v>
      </c>
      <c r="G8" t="e" cm="1" vm="2">
        <f t="array" ref="G8">_xlfn.XLOOKUP($C$1&amp;_xlfn.ANCHORARRAY(A8)&amp;"DPMB_SOCKET0__COMPUTE"&amp;_xlfn.ANCHORARRAY(D8)&amp;"__UNCORE__CHA__"&amp;_xlfn.ANCHORARRAY(E8)&amp;"__UTIL__MC_ADDR_"&amp;_xlfn.ANCHORARRAY(B8),cha_mc[VisualId]&amp;cha_mc[PPVRun_MC]&amp;cha_mc[TestNameWithoutNumeric],cha_mc[TestValue],"")</f>
        <v>#VALUE!</v>
      </c>
      <c r="H8" t="e" cm="1" vm="2">
        <f t="array" ref="H8">_xlfn.XLOOKUP($C$1&amp;_xlfn.ANCHORARRAY(A8)&amp;"DPMB_SOCKET0__COMPUTE"&amp;_xlfn.ANCHORARRAY(D8)&amp;"__UNCORE__CHA__"&amp;_xlfn.ANCHORARRAY(E8)&amp;"__UTIL__MC_MISC_"&amp;_xlfn.ANCHORARRAY(B8),cha_mc[VisualId]&amp;cha_mc[PPVRun_MC]&amp;cha_mc[TestNameWithoutNumeric],cha_mc[TestValue],"")</f>
        <v>#VALUE!</v>
      </c>
      <c r="I8" t="e" cm="1" vm="2">
        <f t="array" ref="I8">_xlfn.XLOOKUP($C$1&amp;_xlfn.ANCHORARRAY(A8)&amp;"DPMB_SOCKET0__COMPUTE"&amp;_xlfn.ANCHORARRAY(D8)&amp;"__UNCORE__CHA__"&amp;_xlfn.ANCHORARRAY(E8)&amp;"__UTIL__MC_MISC3_"&amp;_xlfn.ANCHORARRAY(B8),cha_mc[VisualId]&amp;cha_mc[PPVRun_MC]&amp;cha_mc[TestNameWithoutNumeric],cha_mc[TestValue],"")</f>
        <v>#VALUE!</v>
      </c>
    </row>
  </sheetData>
  <mergeCells count="4">
    <mergeCell ref="L6:N6"/>
    <mergeCell ref="Q6:S6"/>
    <mergeCell ref="B3:B5"/>
    <mergeCell ref="C3:H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UpdateMiscMCA">
                <anchor moveWithCells="1" sizeWithCells="1">
                  <from>
                    <xdr:col>13</xdr:col>
                    <xdr:colOff>60960</xdr:colOff>
                    <xdr:row>2</xdr:row>
                    <xdr:rowOff>22860</xdr:rowOff>
                  </from>
                  <to>
                    <xdr:col>16</xdr:col>
                    <xdr:colOff>358140</xdr:colOff>
                    <xdr:row>4</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4A44220-46BB-4BE9-94B8-1C41CCE76430}">
          <x14:formula1>
            <xm:f>_xlfn.ANCHORARRAY(Units!$A$2)</xm:f>
          </x14:formula1>
          <xm:sqref>C1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489A6-3E25-4C1F-AE4D-64F3B80C3C9F}">
  <sheetPr codeName="Sheet8">
    <tabColor rgb="FFFFFF00"/>
  </sheetPr>
  <dimension ref="A1:L8"/>
  <sheetViews>
    <sheetView tabSelected="1" workbookViewId="0">
      <selection activeCell="F14" sqref="F14"/>
    </sheetView>
  </sheetViews>
  <sheetFormatPr defaultRowHeight="14.4" x14ac:dyDescent="0.3"/>
  <cols>
    <col min="1" max="1" width="10.5546875" customWidth="1"/>
    <col min="2" max="2" width="9.6640625" bestFit="1" customWidth="1"/>
    <col min="3" max="3" width="80.44140625" bestFit="1" customWidth="1"/>
    <col min="5" max="5" width="6.88671875" bestFit="1" customWidth="1"/>
    <col min="6" max="7" width="19.5546875" bestFit="1" customWidth="1"/>
    <col min="8" max="8" width="12.6640625" customWidth="1"/>
    <col min="9" max="9" width="6.109375" bestFit="1" customWidth="1"/>
    <col min="10" max="10" width="10.109375" bestFit="1" customWidth="1"/>
    <col min="11" max="11" width="9.44140625" customWidth="1"/>
    <col min="12" max="12" width="9.109375" customWidth="1"/>
    <col min="13" max="13" width="5.21875" bestFit="1" customWidth="1"/>
    <col min="14" max="14" width="5.5546875" bestFit="1" customWidth="1"/>
    <col min="16" max="16" width="6.33203125" bestFit="1" customWidth="1"/>
    <col min="17" max="17" width="9.33203125" bestFit="1" customWidth="1"/>
  </cols>
  <sheetData>
    <row r="1" spans="1:12" x14ac:dyDescent="0.3">
      <c r="B1" s="4" t="s">
        <v>617</v>
      </c>
      <c r="C1" s="19" t="str">
        <f>Units!A2</f>
        <v>74X97M1000031</v>
      </c>
    </row>
    <row r="2" spans="1:12" x14ac:dyDescent="0.3">
      <c r="B2" s="4" t="s">
        <v>181</v>
      </c>
      <c r="C2" s="4" t="str">
        <f>_xlfn.XLOOKUP(C1,ppv[VisualId],ppv[DpmBucket],"")</f>
        <v/>
      </c>
    </row>
    <row r="3" spans="1:12" x14ac:dyDescent="0.3">
      <c r="B3" s="52" t="s">
        <v>624</v>
      </c>
      <c r="C3" s="44" t="str">
        <f>_xlfn.XLOOKUP(C1,ppv[VisualId],ppv[BinDesc],"")</f>
        <v/>
      </c>
      <c r="D3" s="44"/>
      <c r="E3" s="44"/>
      <c r="F3" s="44"/>
      <c r="G3" s="44"/>
      <c r="H3" s="44"/>
    </row>
    <row r="4" spans="1:12" x14ac:dyDescent="0.3">
      <c r="B4" s="52"/>
      <c r="C4" s="44"/>
      <c r="D4" s="44"/>
      <c r="E4" s="44"/>
      <c r="F4" s="44"/>
      <c r="G4" s="44"/>
      <c r="H4" s="44"/>
    </row>
    <row r="5" spans="1:12" ht="15" thickBot="1" x14ac:dyDescent="0.35">
      <c r="B5" s="52"/>
      <c r="C5" s="44"/>
      <c r="D5" s="44"/>
      <c r="E5" s="44"/>
      <c r="F5" s="44"/>
      <c r="G5" s="44"/>
      <c r="H5" s="44"/>
    </row>
    <row r="6" spans="1:12" ht="21.6" thickBot="1" x14ac:dyDescent="0.35">
      <c r="J6" s="39" t="s">
        <v>625</v>
      </c>
      <c r="K6" s="40"/>
      <c r="L6" s="41"/>
    </row>
    <row r="7" spans="1:12" x14ac:dyDescent="0.3">
      <c r="A7" s="30" t="s">
        <v>618</v>
      </c>
      <c r="B7" s="30" t="s">
        <v>7</v>
      </c>
      <c r="C7" s="35" t="s">
        <v>133</v>
      </c>
      <c r="D7" s="35" t="s">
        <v>619</v>
      </c>
      <c r="E7" s="35" t="s">
        <v>626</v>
      </c>
      <c r="F7" s="35" t="s">
        <v>620</v>
      </c>
      <c r="G7" s="35" t="s">
        <v>627</v>
      </c>
      <c r="H7" s="35" t="s">
        <v>622</v>
      </c>
      <c r="I7" s="31" t="s">
        <v>628</v>
      </c>
      <c r="J7" s="29" t="s">
        <v>629</v>
      </c>
      <c r="K7" s="29" t="s">
        <v>630</v>
      </c>
      <c r="L7" s="29" t="s">
        <v>626</v>
      </c>
    </row>
    <row r="8" spans="1:12" x14ac:dyDescent="0.3">
      <c r="A8" t="e" cm="1" vm="1">
        <f t="array" ref="A8">_xlfn.TEXTSPLIT(SUBSTITUTE(_xlfn._xlws.FILTER(_xlfn.UNIQUE(cha_mc[VisualId]&amp;cha_mc[PPVRun_MC]&amp;"|"&amp;cha_mc[TestName]),ISNUMBER(SEARCH(C1&amp; "*LLC*__MCI_STATUS*", _xlfn.UNIQUE(cha_mc[VisualId]&amp;cha_mc[PPVRun_MC]&amp;"|"&amp;cha_mc[TestName])))),C1,""),"|")</f>
        <v>#VALUE!</v>
      </c>
      <c r="B8" t="e" cm="1" vm="1">
        <f t="array" ref="B8">_xlfn.TEXTSPLIT(SUBSTITUTE(_xlfn._xlws.FILTER(_xlfn.UNIQUE(cha_mc[VisualId]&amp;cha_mc[Operation]&amp;"|"&amp;cha_mc[PPVRun_MC]&amp;cha_mc[TestName]),ISNUMBER(SEARCH(C1 &amp; "*LLC*__MCI_STATUS*", _xlfn.UNIQUE(cha_mc[VisualId]&amp;cha_mc[Operation]&amp;"|"&amp;cha_mc[PPVRun_MC]&amp;cha_mc[TestName])))),C1,""),"|")</f>
        <v>#VALUE!</v>
      </c>
      <c r="C8" t="e" cm="1" vm="1">
        <f t="array" ref="C8">SUBSTITUTE(_xlfn.TEXTSPLIT(SUBSTITUTE(_xlfn._xlws.FILTER(_xlfn.UNIQUE(cha_mc[VisualId]&amp;cha_mc[TestName]&amp;"|"&amp;cha_mc[PPVRun_MC]),ISNUMBER(SEARCH(C1 &amp; "*LLC*__MCI_STATUS*", _xlfn.UNIQUE(cha_mc[VisualId]&amp;cha_mc[TestName]&amp;"|"&amp;cha_mc[PPVRun_MC])))),C1,""),"|"),"*CHA*UTIL__MC_STATUS*","")</f>
        <v>#VALUE!</v>
      </c>
      <c r="D8" t="e" cm="1" vm="2">
        <f t="array" ref="D8">MID(_xlfn.ANCHORARRAY(C8),SEARCH("COMPUTE",_xlfn.ANCHORARRAY(C8))+7,1)</f>
        <v>#VALUE!</v>
      </c>
      <c r="E8" t="e" cm="1" vm="2">
        <f t="array" ref="E8">MID(_xlfn.ANCHORARRAY(C8),SEARCH("__SCF_LLC",_xlfn.ANCHORARRAY(C8))+15,SEARCH("__MCI_",_xlfn.ANCHORARRAY(C8))-SEARCH("__SCF_LLC",_xlfn.ANCHORARRAY(C8))-15)</f>
        <v>#VALUE!</v>
      </c>
      <c r="F8" t="e" cm="1" vm="2">
        <f t="array" ref="F8">_xlfn.XLOOKUP($C$1&amp;_xlfn.ANCHORARRAY(A8)&amp;"DPMB_SOCKET0__COMPUTE"&amp;_xlfn.ANCHORARRAY(D8)&amp;"__UNCORE__SCF__SCF_LLC__SCF_"&amp;_xlfn.ANCHORARRAY(E8)&amp;"__MCI_STATUS_"&amp;_xlfn.ANCHORARRAY(B8),cha_mc[VisualId]&amp;cha_mc[PPVRun_MC]&amp;cha_mc[TestNameWithoutNumeric],cha_mc[TestValue],"")</f>
        <v>#VALUE!</v>
      </c>
      <c r="G8" t="str" cm="1">
        <f t="array" ref="G8">IFERROR(_xlfn.XLOOKUP(HEX2DEC(MID(_xlfn.ANCHORARRAY(F8),LEN(_xlfn.ANCHORARRAY(F8))-7,4)),mscodLLC[MSCOD_BY_VAL_LLC],mscodLLC[Description],""),"")</f>
        <v/>
      </c>
      <c r="H8" t="e" cm="1" vm="2">
        <f t="array" ref="H8">_xlfn.XLOOKUP($C$1&amp;_xlfn.ANCHORARRAY(A8)&amp;"DPMB_SOCKET0__COMPUTE"&amp;_xlfn.ANCHORARRAY(D8)&amp;"__UNCORE__SCF__SCF_LLC__SCF_"&amp;_xlfn.ANCHORARRAY(E8)&amp;"__MCI_MISC_"&amp;_xlfn.ANCHORARRAY(B8),cha_mc[VisualId]&amp;cha_mc[PPVRun_MC]&amp;cha_mc[TestNameWithoutNumeric],cha_mc[TestValue],"")</f>
        <v>#VALUE!</v>
      </c>
      <c r="I8" t="str" cm="1">
        <f t="array" ref="I8">IFERROR(LEFT(HEX2BIN(MID(_xlfn.ANCHORARRAY(F8),LEN(_xlfn.ANCHORARRAY(F8))-14,1),4),1),"")</f>
        <v/>
      </c>
    </row>
  </sheetData>
  <mergeCells count="3">
    <mergeCell ref="B3:B5"/>
    <mergeCell ref="C3:H5"/>
    <mergeCell ref="J6:L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UpdateMiscLLC">
                <anchor moveWithCells="1" sizeWithCells="1">
                  <from>
                    <xdr:col>11</xdr:col>
                    <xdr:colOff>60960</xdr:colOff>
                    <xdr:row>2</xdr:row>
                    <xdr:rowOff>22860</xdr:rowOff>
                  </from>
                  <to>
                    <xdr:col>14</xdr:col>
                    <xdr:colOff>358140</xdr:colOff>
                    <xdr:row>4</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C916F21-AF1C-415F-87CC-ED9C96CE9137}">
          <x14:formula1>
            <xm:f>_xlfn.ANCHORARRAY(Units!$A$2)</xm:f>
          </x14:formula1>
          <xm:sqref>C1</xm:sqref>
        </x14:dataValidation>
      </x14:dataValidations>
    </ext>
  </extLst>
</worksheet>
</file>

<file path=docMetadata/LabelInfo.xml><?xml version="1.0" encoding="utf-8"?>
<clbl:labelList xmlns:clbl="http://schemas.microsoft.com/office/2020/mipLabelMetadata">
  <clbl:label id="{46c98d88-e344-4ed4-8496-4ed7712e255d}" enabled="0" method="" siteId="{46c98d88-e344-4ed4-8496-4ed7712e255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CHA</vt:lpstr>
      <vt:lpstr>CORE</vt:lpstr>
      <vt:lpstr>PPV</vt:lpstr>
      <vt:lpstr>Units</vt:lpstr>
      <vt:lpstr>MC_data</vt:lpstr>
      <vt:lpstr>Check</vt:lpstr>
      <vt:lpstr>MCAs</vt:lpstr>
      <vt:lpstr>LLCs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Espinoza Ballestero, Gabriel</dc:creator>
  <cp:keywords/>
  <dc:description/>
  <cp:lastModifiedBy>Espinoza Ballestero, Gabriel</cp:lastModifiedBy>
  <cp:revision/>
  <dcterms:created xsi:type="dcterms:W3CDTF">2024-01-24T19:29:23Z</dcterms:created>
  <dcterms:modified xsi:type="dcterms:W3CDTF">2024-10-30T20:26:14Z</dcterms:modified>
  <cp:category/>
  <cp:contentStatus/>
</cp:coreProperties>
</file>