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R:\Templates\GNR\version_2_0\"/>
    </mc:Choice>
  </mc:AlternateContent>
  <xr:revisionPtr revIDLastSave="0" documentId="13_ncr:1_{BA5F1C0A-57A0-4A45-ABD2-456D6B20A827}" xr6:coauthVersionLast="47" xr6:coauthVersionMax="47" xr10:uidLastSave="{00000000-0000-0000-0000-000000000000}"/>
  <bookViews>
    <workbookView xWindow="-28920" yWindow="-120" windowWidth="29040" windowHeight="15720" tabRatio="867" firstSheet="10" activeTab="22" xr2:uid="{384DEB29-0A4D-4351-9D94-5B96381341E8}"/>
  </bookViews>
  <sheets>
    <sheet name="BaselineMesh" sheetId="1" r:id="rId1"/>
    <sheet name="BaselinePPVC" sheetId="58" r:id="rId2"/>
    <sheet name="BaselineXtended" sheetId="59" r:id="rId3"/>
    <sheet name="BaselineSlice" sheetId="37" r:id="rId4"/>
    <sheet name="CFC_Voltage" sheetId="51" r:id="rId5"/>
    <sheet name="CFC_Frequency" sheetId="52" r:id="rId6"/>
    <sheet name="IA_Voltage" sheetId="56" r:id="rId7"/>
    <sheet name="IA_Frequency LO" sheetId="57" r:id="rId8"/>
    <sheet name="IA_Frequency HI" sheetId="60" r:id="rId9"/>
    <sheet name="TSL_3sBreadth" sheetId="36" r:id="rId10"/>
    <sheet name="TSL_1sBreadth" sheetId="53" r:id="rId11"/>
    <sheet name="TSL_500msBreadth" sheetId="54" r:id="rId12"/>
    <sheet name="TSL_100msBreadth" sheetId="55" r:id="rId13"/>
    <sheet name="TSL_3sBR" sheetId="61" r:id="rId14"/>
    <sheet name="TSL_1sBR" sheetId="62" r:id="rId15"/>
    <sheet name="TSL_500msBR" sheetId="64" r:id="rId16"/>
    <sheet name="TSL_100msBR" sheetId="63" r:id="rId17"/>
    <sheet name="TSL_3sDepth" sheetId="65" r:id="rId18"/>
    <sheet name="TSL_1sDepth" sheetId="66" r:id="rId19"/>
    <sheet name="TSL_500msDepth" sheetId="67" r:id="rId20"/>
    <sheet name="TSL_100msDepth" sheetId="68" r:id="rId21"/>
    <sheet name="MLC" sheetId="69" r:id="rId22"/>
    <sheet name="Sandstone" sheetId="70" r:id="rId23"/>
    <sheet name="MiscData" sheetId="3" state="hidden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70" l="1" a="1"/>
  <c r="C41" i="70" s="1"/>
  <c r="C40" i="70" a="1"/>
  <c r="C40" i="70" s="1"/>
  <c r="C39" i="70" a="1"/>
  <c r="C39" i="70" s="1"/>
  <c r="C38" i="70" a="1"/>
  <c r="C38" i="70" s="1"/>
  <c r="C37" i="70" a="1"/>
  <c r="C37" i="70" s="1"/>
  <c r="C36" i="70" a="1"/>
  <c r="C36" i="70" s="1"/>
  <c r="C35" i="70" a="1"/>
  <c r="C35" i="70" s="1"/>
  <c r="C34" i="70" a="1"/>
  <c r="C34" i="70" s="1"/>
  <c r="E33" i="70"/>
  <c r="D33" i="70"/>
  <c r="C33" i="70" a="1"/>
  <c r="C33" i="70" s="1"/>
  <c r="E32" i="70"/>
  <c r="D32" i="70"/>
  <c r="C32" i="70" a="1"/>
  <c r="C32" i="70" s="1"/>
  <c r="E31" i="70" a="1"/>
  <c r="E31" i="70" s="1"/>
  <c r="D31" i="70" a="1"/>
  <c r="D31" i="70" s="1"/>
  <c r="C31" i="70" a="1"/>
  <c r="C31" i="70" s="1"/>
  <c r="E30" i="70" a="1"/>
  <c r="E30" i="70" s="1"/>
  <c r="D30" i="70" a="1"/>
  <c r="D30" i="70" s="1"/>
  <c r="C30" i="70" a="1"/>
  <c r="C30" i="70" s="1"/>
  <c r="C27" i="70"/>
  <c r="C26" i="70"/>
  <c r="C26" i="70" a="1"/>
  <c r="C25" i="70"/>
  <c r="C24" i="70" a="1"/>
  <c r="C24" i="70" s="1"/>
  <c r="C3" i="70" a="1"/>
  <c r="C3" i="70" s="1"/>
  <c r="C41" i="69" a="1"/>
  <c r="C41" i="69" s="1"/>
  <c r="C40" i="69" a="1"/>
  <c r="C40" i="69" s="1"/>
  <c r="C39" i="69" a="1"/>
  <c r="C39" i="69" s="1"/>
  <c r="C38" i="69" a="1"/>
  <c r="C38" i="69" s="1"/>
  <c r="C37" i="69" a="1"/>
  <c r="C37" i="69" s="1"/>
  <c r="C36" i="69" a="1"/>
  <c r="C36" i="69" s="1"/>
  <c r="C35" i="69" a="1"/>
  <c r="C35" i="69" s="1"/>
  <c r="C34" i="69" a="1"/>
  <c r="C34" i="69" s="1"/>
  <c r="E33" i="69"/>
  <c r="D33" i="69"/>
  <c r="C33" i="69" a="1"/>
  <c r="C33" i="69" s="1"/>
  <c r="E32" i="69"/>
  <c r="D32" i="69"/>
  <c r="C32" i="69" a="1"/>
  <c r="C32" i="69" s="1"/>
  <c r="E31" i="69" a="1"/>
  <c r="E31" i="69" s="1"/>
  <c r="D31" i="69" a="1"/>
  <c r="D31" i="69" s="1"/>
  <c r="C31" i="69" a="1"/>
  <c r="C31" i="69" s="1"/>
  <c r="E30" i="69"/>
  <c r="E30" i="69" a="1"/>
  <c r="D30" i="69" a="1"/>
  <c r="D30" i="69" s="1"/>
  <c r="C30" i="69" a="1"/>
  <c r="C30" i="69" s="1"/>
  <c r="C27" i="69"/>
  <c r="C26" i="69" a="1"/>
  <c r="C26" i="69" s="1"/>
  <c r="C25" i="69"/>
  <c r="C24" i="69" a="1"/>
  <c r="C24" i="69" s="1"/>
  <c r="C3" i="69" a="1"/>
  <c r="C3" i="69" s="1"/>
  <c r="C41" i="68"/>
  <c r="C41" i="68" a="1"/>
  <c r="C40" i="68" a="1"/>
  <c r="C40" i="68" s="1"/>
  <c r="C39" i="68"/>
  <c r="C39" i="68" a="1"/>
  <c r="C38" i="68"/>
  <c r="C38" i="68" a="1"/>
  <c r="C37" i="68"/>
  <c r="C37" i="68" a="1"/>
  <c r="C36" i="68" a="1"/>
  <c r="C36" i="68" s="1"/>
  <c r="C35" i="68"/>
  <c r="C35" i="68" a="1"/>
  <c r="C34" i="68"/>
  <c r="C34" i="68" a="1"/>
  <c r="E33" i="68"/>
  <c r="D33" i="68"/>
  <c r="C33" i="68" a="1"/>
  <c r="C33" i="68" s="1"/>
  <c r="E32" i="68"/>
  <c r="D32" i="68"/>
  <c r="C32" i="68" a="1"/>
  <c r="C32" i="68" s="1"/>
  <c r="E31" i="68"/>
  <c r="E31" i="68" a="1"/>
  <c r="D31" i="68" a="1"/>
  <c r="D31" i="68" s="1"/>
  <c r="C31" i="68" a="1"/>
  <c r="C31" i="68" s="1"/>
  <c r="E30" i="68"/>
  <c r="E30" i="68" a="1"/>
  <c r="D30" i="68"/>
  <c r="D30" i="68" a="1"/>
  <c r="C30" i="68" a="1"/>
  <c r="C30" i="68" s="1"/>
  <c r="C27" i="68"/>
  <c r="C26" i="68" a="1"/>
  <c r="C26" i="68" s="1"/>
  <c r="C25" i="68"/>
  <c r="C24" i="68"/>
  <c r="C24" i="68" a="1"/>
  <c r="C3" i="68" a="1"/>
  <c r="C3" i="68" s="1"/>
  <c r="C41" i="67" a="1"/>
  <c r="C41" i="67" s="1"/>
  <c r="C40" i="67" a="1"/>
  <c r="C40" i="67" s="1"/>
  <c r="C39" i="67"/>
  <c r="C39" i="67" a="1"/>
  <c r="C38" i="67" a="1"/>
  <c r="C38" i="67" s="1"/>
  <c r="C37" i="67" a="1"/>
  <c r="C37" i="67" s="1"/>
  <c r="C36" i="67" a="1"/>
  <c r="C36" i="67" s="1"/>
  <c r="C35" i="67"/>
  <c r="C35" i="67" a="1"/>
  <c r="C34" i="67" a="1"/>
  <c r="C34" i="67" s="1"/>
  <c r="E33" i="67"/>
  <c r="D33" i="67"/>
  <c r="C33" i="67" a="1"/>
  <c r="C33" i="67" s="1"/>
  <c r="E32" i="67"/>
  <c r="D32" i="67"/>
  <c r="C32" i="67" a="1"/>
  <c r="C32" i="67" s="1"/>
  <c r="E31" i="67" a="1"/>
  <c r="E31" i="67" s="1"/>
  <c r="D31" i="67" a="1"/>
  <c r="D31" i="67" s="1"/>
  <c r="C31" i="67" a="1"/>
  <c r="C31" i="67" s="1"/>
  <c r="E30" i="67" a="1"/>
  <c r="E30" i="67" s="1"/>
  <c r="D30" i="67" a="1"/>
  <c r="D30" i="67" s="1"/>
  <c r="C30" i="67" a="1"/>
  <c r="C30" i="67" s="1"/>
  <c r="C27" i="67"/>
  <c r="C26" i="67"/>
  <c r="C26" i="67" a="1"/>
  <c r="C25" i="67"/>
  <c r="C24" i="67" a="1"/>
  <c r="C24" i="67" s="1"/>
  <c r="C3" i="67" a="1"/>
  <c r="C3" i="67" s="1"/>
  <c r="C41" i="66" a="1"/>
  <c r="C41" i="66" s="1"/>
  <c r="C40" i="66" a="1"/>
  <c r="C40" i="66" s="1"/>
  <c r="C39" i="66" a="1"/>
  <c r="C39" i="66" s="1"/>
  <c r="C38" i="66" a="1"/>
  <c r="C38" i="66" s="1"/>
  <c r="C37" i="66" a="1"/>
  <c r="C37" i="66" s="1"/>
  <c r="C36" i="66" a="1"/>
  <c r="C36" i="66" s="1"/>
  <c r="C35" i="66" a="1"/>
  <c r="C35" i="66" s="1"/>
  <c r="C34" i="66" a="1"/>
  <c r="C34" i="66" s="1"/>
  <c r="E33" i="66"/>
  <c r="D33" i="66"/>
  <c r="C33" i="66" a="1"/>
  <c r="C33" i="66" s="1"/>
  <c r="E32" i="66"/>
  <c r="D32" i="66"/>
  <c r="C32" i="66" a="1"/>
  <c r="C32" i="66" s="1"/>
  <c r="E31" i="66" a="1"/>
  <c r="E31" i="66" s="1"/>
  <c r="D31" i="66" a="1"/>
  <c r="D31" i="66" s="1"/>
  <c r="C31" i="66" a="1"/>
  <c r="C31" i="66" s="1"/>
  <c r="E30" i="66" a="1"/>
  <c r="E30" i="66" s="1"/>
  <c r="D30" i="66" a="1"/>
  <c r="D30" i="66" s="1"/>
  <c r="C30" i="66" a="1"/>
  <c r="C30" i="66" s="1"/>
  <c r="C27" i="66"/>
  <c r="C26" i="66" a="1"/>
  <c r="C26" i="66" s="1"/>
  <c r="C25" i="66"/>
  <c r="C24" i="66" a="1"/>
  <c r="C24" i="66" s="1"/>
  <c r="C3" i="66" a="1"/>
  <c r="C3" i="66" s="1"/>
  <c r="C41" i="65" a="1"/>
  <c r="C41" i="65" s="1"/>
  <c r="C40" i="65" a="1"/>
  <c r="C40" i="65" s="1"/>
  <c r="C39" i="65" a="1"/>
  <c r="C39" i="65" s="1"/>
  <c r="C38" i="65"/>
  <c r="C38" i="65" a="1"/>
  <c r="C37" i="65" a="1"/>
  <c r="C37" i="65" s="1"/>
  <c r="C36" i="65" a="1"/>
  <c r="C36" i="65" s="1"/>
  <c r="C35" i="65" a="1"/>
  <c r="C35" i="65" s="1"/>
  <c r="C34" i="65"/>
  <c r="C34" i="65" a="1"/>
  <c r="E33" i="65"/>
  <c r="D33" i="65"/>
  <c r="C33" i="65" a="1"/>
  <c r="C33" i="65" s="1"/>
  <c r="E32" i="65"/>
  <c r="D32" i="65"/>
  <c r="C32" i="65" a="1"/>
  <c r="C32" i="65" s="1"/>
  <c r="E31" i="65" a="1"/>
  <c r="E31" i="65" s="1"/>
  <c r="D31" i="65" a="1"/>
  <c r="D31" i="65" s="1"/>
  <c r="C31" i="65" a="1"/>
  <c r="C31" i="65" s="1"/>
  <c r="E30" i="65"/>
  <c r="E30" i="65" a="1"/>
  <c r="D30" i="65" a="1"/>
  <c r="D30" i="65" s="1"/>
  <c r="C30" i="65" a="1"/>
  <c r="C30" i="65" s="1"/>
  <c r="C27" i="65"/>
  <c r="C26" i="65" a="1"/>
  <c r="C26" i="65" s="1"/>
  <c r="C25" i="65"/>
  <c r="C24" i="65" a="1"/>
  <c r="C24" i="65" s="1"/>
  <c r="C3" i="65" a="1"/>
  <c r="C3" i="65" s="1"/>
  <c r="C41" i="64"/>
  <c r="C41" i="64" a="1"/>
  <c r="C40" i="64" a="1"/>
  <c r="C40" i="64" s="1"/>
  <c r="C39" i="64"/>
  <c r="C39" i="64" a="1"/>
  <c r="C38" i="64" a="1"/>
  <c r="C38" i="64" s="1"/>
  <c r="C37" i="64"/>
  <c r="C37" i="64" a="1"/>
  <c r="C36" i="64" a="1"/>
  <c r="C36" i="64" s="1"/>
  <c r="C35" i="64"/>
  <c r="C35" i="64" a="1"/>
  <c r="C34" i="64" a="1"/>
  <c r="C34" i="64" s="1"/>
  <c r="E33" i="64"/>
  <c r="D33" i="64"/>
  <c r="C33" i="64" a="1"/>
  <c r="C33" i="64" s="1"/>
  <c r="E32" i="64"/>
  <c r="D32" i="64"/>
  <c r="C32" i="64" a="1"/>
  <c r="C32" i="64" s="1"/>
  <c r="E31" i="64"/>
  <c r="E31" i="64" a="1"/>
  <c r="D31" i="64" a="1"/>
  <c r="D31" i="64" s="1"/>
  <c r="C31" i="64" a="1"/>
  <c r="C31" i="64" s="1"/>
  <c r="E30" i="64" a="1"/>
  <c r="E30" i="64" s="1"/>
  <c r="D30" i="64"/>
  <c r="D30" i="64" a="1"/>
  <c r="C30" i="64" a="1"/>
  <c r="C30" i="64" s="1"/>
  <c r="C27" i="64"/>
  <c r="C26" i="64"/>
  <c r="C26" i="64" a="1"/>
  <c r="C25" i="64"/>
  <c r="C24" i="64"/>
  <c r="C24" i="64" a="1"/>
  <c r="C3" i="64" a="1"/>
  <c r="C3" i="64" s="1"/>
  <c r="C41" i="63" a="1"/>
  <c r="C41" i="63" s="1"/>
  <c r="C40" i="63" a="1"/>
  <c r="C40" i="63" s="1"/>
  <c r="C39" i="63" a="1"/>
  <c r="C39" i="63" s="1"/>
  <c r="C38" i="63" a="1"/>
  <c r="C38" i="63" s="1"/>
  <c r="C37" i="63" a="1"/>
  <c r="C37" i="63" s="1"/>
  <c r="C36" i="63" a="1"/>
  <c r="C36" i="63" s="1"/>
  <c r="C35" i="63" a="1"/>
  <c r="C35" i="63" s="1"/>
  <c r="C34" i="63" a="1"/>
  <c r="C34" i="63" s="1"/>
  <c r="E33" i="63"/>
  <c r="D33" i="63"/>
  <c r="C33" i="63" a="1"/>
  <c r="C33" i="63" s="1"/>
  <c r="E32" i="63"/>
  <c r="D32" i="63"/>
  <c r="C32" i="63" a="1"/>
  <c r="C32" i="63" s="1"/>
  <c r="E31" i="63" a="1"/>
  <c r="E31" i="63" s="1"/>
  <c r="D31" i="63" a="1"/>
  <c r="D31" i="63" s="1"/>
  <c r="C31" i="63" a="1"/>
  <c r="C31" i="63" s="1"/>
  <c r="E30" i="63" a="1"/>
  <c r="E30" i="63" s="1"/>
  <c r="D30" i="63" a="1"/>
  <c r="D30" i="63" s="1"/>
  <c r="C30" i="63" a="1"/>
  <c r="C30" i="63" s="1"/>
  <c r="C27" i="63"/>
  <c r="C26" i="63"/>
  <c r="C26" i="63" a="1"/>
  <c r="C25" i="63"/>
  <c r="C24" i="63" a="1"/>
  <c r="C24" i="63" s="1"/>
  <c r="C3" i="63" a="1"/>
  <c r="C3" i="63" s="1"/>
  <c r="C41" i="62" a="1"/>
  <c r="C41" i="62" s="1"/>
  <c r="C40" i="62" a="1"/>
  <c r="C40" i="62" s="1"/>
  <c r="C39" i="62" a="1"/>
  <c r="C39" i="62" s="1"/>
  <c r="C38" i="62"/>
  <c r="C38" i="62" a="1"/>
  <c r="C37" i="62" a="1"/>
  <c r="C37" i="62" s="1"/>
  <c r="C36" i="62" a="1"/>
  <c r="C36" i="62" s="1"/>
  <c r="C35" i="62" a="1"/>
  <c r="C35" i="62" s="1"/>
  <c r="C34" i="62"/>
  <c r="C34" i="62" a="1"/>
  <c r="E33" i="62"/>
  <c r="D33" i="62"/>
  <c r="C33" i="62" a="1"/>
  <c r="C33" i="62" s="1"/>
  <c r="E32" i="62"/>
  <c r="D32" i="62"/>
  <c r="C32" i="62" a="1"/>
  <c r="C32" i="62" s="1"/>
  <c r="E31" i="62" a="1"/>
  <c r="E31" i="62" s="1"/>
  <c r="D31" i="62" a="1"/>
  <c r="D31" i="62" s="1"/>
  <c r="C31" i="62" a="1"/>
  <c r="C31" i="62" s="1"/>
  <c r="E30" i="62"/>
  <c r="E30" i="62" a="1"/>
  <c r="D30" i="62" a="1"/>
  <c r="D30" i="62" s="1"/>
  <c r="C30" i="62" a="1"/>
  <c r="C30" i="62" s="1"/>
  <c r="C27" i="62"/>
  <c r="C26" i="62" a="1"/>
  <c r="C26" i="62" s="1"/>
  <c r="C25" i="62"/>
  <c r="C24" i="62" a="1"/>
  <c r="C24" i="62" s="1"/>
  <c r="C3" i="62" a="1"/>
  <c r="C3" i="62" s="1"/>
  <c r="C41" i="61" a="1"/>
  <c r="C41" i="61" s="1"/>
  <c r="C40" i="61" a="1"/>
  <c r="C40" i="61" s="1"/>
  <c r="C39" i="61"/>
  <c r="C39" i="61" a="1"/>
  <c r="C38" i="61" a="1"/>
  <c r="C38" i="61" s="1"/>
  <c r="C37" i="61" a="1"/>
  <c r="C37" i="61" s="1"/>
  <c r="C36" i="61" a="1"/>
  <c r="C36" i="61" s="1"/>
  <c r="C35" i="61"/>
  <c r="C35" i="61" a="1"/>
  <c r="C34" i="61" a="1"/>
  <c r="C34" i="61" s="1"/>
  <c r="E33" i="61"/>
  <c r="D33" i="61"/>
  <c r="C33" i="61" a="1"/>
  <c r="C33" i="61" s="1"/>
  <c r="E32" i="61"/>
  <c r="D32" i="61"/>
  <c r="C32" i="61" a="1"/>
  <c r="C32" i="61" s="1"/>
  <c r="E31" i="61" a="1"/>
  <c r="E31" i="61" s="1"/>
  <c r="D31" i="61" a="1"/>
  <c r="D31" i="61" s="1"/>
  <c r="C31" i="61" a="1"/>
  <c r="C31" i="61" s="1"/>
  <c r="E30" i="61" a="1"/>
  <c r="E30" i="61" s="1"/>
  <c r="D30" i="61" a="1"/>
  <c r="D30" i="61" s="1"/>
  <c r="C30" i="61" a="1"/>
  <c r="C30" i="61" s="1"/>
  <c r="C27" i="61"/>
  <c r="C26" i="61"/>
  <c r="C26" i="61" a="1"/>
  <c r="C25" i="61"/>
  <c r="C24" i="61" a="1"/>
  <c r="C24" i="61" s="1"/>
  <c r="C3" i="61" a="1"/>
  <c r="C3" i="61" s="1"/>
  <c r="C41" i="60" a="1"/>
  <c r="C41" i="60" s="1"/>
  <c r="C40" i="60" a="1"/>
  <c r="C40" i="60" s="1"/>
  <c r="C39" i="60" a="1"/>
  <c r="C39" i="60" s="1"/>
  <c r="C38" i="60"/>
  <c r="C38" i="60" a="1"/>
  <c r="C37" i="60" a="1"/>
  <c r="C37" i="60" s="1"/>
  <c r="C36" i="60" a="1"/>
  <c r="C36" i="60" s="1"/>
  <c r="C35" i="60" a="1"/>
  <c r="C35" i="60" s="1"/>
  <c r="C34" i="60"/>
  <c r="C34" i="60" a="1"/>
  <c r="E33" i="60"/>
  <c r="D33" i="60"/>
  <c r="C33" i="60" a="1"/>
  <c r="C33" i="60" s="1"/>
  <c r="E32" i="60"/>
  <c r="D32" i="60"/>
  <c r="C32" i="60" a="1"/>
  <c r="C32" i="60" s="1"/>
  <c r="E31" i="60" a="1"/>
  <c r="E31" i="60" s="1"/>
  <c r="D31" i="60" a="1"/>
  <c r="D31" i="60" s="1"/>
  <c r="C31" i="60" a="1"/>
  <c r="C31" i="60" s="1"/>
  <c r="E30" i="60"/>
  <c r="E30" i="60" a="1"/>
  <c r="D30" i="60" a="1"/>
  <c r="D30" i="60" s="1"/>
  <c r="C30" i="60" a="1"/>
  <c r="C30" i="60" s="1"/>
  <c r="C27" i="60"/>
  <c r="C26" i="60" a="1"/>
  <c r="C26" i="60" s="1"/>
  <c r="C25" i="60"/>
  <c r="C24" i="60" a="1"/>
  <c r="C24" i="60" s="1"/>
  <c r="C3" i="60" a="1"/>
  <c r="C3" i="60" s="1"/>
  <c r="C41" i="59" a="1"/>
  <c r="C41" i="59" s="1"/>
  <c r="C40" i="59" a="1"/>
  <c r="C40" i="59" s="1"/>
  <c r="C39" i="59" a="1"/>
  <c r="C39" i="59" s="1"/>
  <c r="C38" i="59"/>
  <c r="C38" i="59" a="1"/>
  <c r="C37" i="59" a="1"/>
  <c r="C37" i="59" s="1"/>
  <c r="C36" i="59" a="1"/>
  <c r="C36" i="59" s="1"/>
  <c r="C35" i="59" a="1"/>
  <c r="C35" i="59" s="1"/>
  <c r="C34" i="59"/>
  <c r="C34" i="59" a="1"/>
  <c r="E33" i="59"/>
  <c r="D33" i="59"/>
  <c r="C33" i="59" a="1"/>
  <c r="C33" i="59" s="1"/>
  <c r="E32" i="59"/>
  <c r="D32" i="59"/>
  <c r="C32" i="59" a="1"/>
  <c r="C32" i="59" s="1"/>
  <c r="E31" i="59" a="1"/>
  <c r="E31" i="59" s="1"/>
  <c r="D31" i="59" a="1"/>
  <c r="D31" i="59" s="1"/>
  <c r="C31" i="59" a="1"/>
  <c r="C31" i="59" s="1"/>
  <c r="E30" i="59" a="1"/>
  <c r="E30" i="59" s="1"/>
  <c r="D30" i="59" a="1"/>
  <c r="D30" i="59" s="1"/>
  <c r="C30" i="59" a="1"/>
  <c r="C30" i="59" s="1"/>
  <c r="C27" i="59"/>
  <c r="C26" i="59" a="1"/>
  <c r="C26" i="59" s="1"/>
  <c r="C25" i="59"/>
  <c r="C24" i="59" a="1"/>
  <c r="C24" i="59" s="1"/>
  <c r="C3" i="59" a="1"/>
  <c r="C3" i="59" s="1"/>
  <c r="C41" i="58" a="1"/>
  <c r="C41" i="58" s="1"/>
  <c r="C40" i="58" a="1"/>
  <c r="C40" i="58" s="1"/>
  <c r="C39" i="58" a="1"/>
  <c r="C39" i="58" s="1"/>
  <c r="C38" i="58"/>
  <c r="C38" i="58" a="1"/>
  <c r="C37" i="58" a="1"/>
  <c r="C37" i="58" s="1"/>
  <c r="C36" i="58" a="1"/>
  <c r="C36" i="58" s="1"/>
  <c r="C35" i="58" a="1"/>
  <c r="C35" i="58" s="1"/>
  <c r="C34" i="58"/>
  <c r="C34" i="58" a="1"/>
  <c r="E33" i="58"/>
  <c r="D33" i="58"/>
  <c r="C33" i="58" a="1"/>
  <c r="C33" i="58" s="1"/>
  <c r="E32" i="58"/>
  <c r="D32" i="58"/>
  <c r="C32" i="58" a="1"/>
  <c r="C32" i="58" s="1"/>
  <c r="E31" i="58" a="1"/>
  <c r="E31" i="58" s="1"/>
  <c r="D31" i="58" a="1"/>
  <c r="D31" i="58" s="1"/>
  <c r="C31" i="58" a="1"/>
  <c r="C31" i="58" s="1"/>
  <c r="E30" i="58"/>
  <c r="E30" i="58" a="1"/>
  <c r="D30" i="58" a="1"/>
  <c r="D30" i="58" s="1"/>
  <c r="C30" i="58" a="1"/>
  <c r="C30" i="58" s="1"/>
  <c r="C27" i="58"/>
  <c r="C26" i="58" a="1"/>
  <c r="C26" i="58" s="1"/>
  <c r="C25" i="58"/>
  <c r="C24" i="58" a="1"/>
  <c r="C24" i="58" s="1"/>
  <c r="C3" i="58" a="1"/>
  <c r="C3" i="58" s="1"/>
  <c r="C41" i="57" a="1"/>
  <c r="C41" i="57" s="1"/>
  <c r="C40" i="57" a="1"/>
  <c r="C40" i="57" s="1"/>
  <c r="C39" i="57" a="1"/>
  <c r="C39" i="57" s="1"/>
  <c r="C38" i="57" a="1"/>
  <c r="C38" i="57" s="1"/>
  <c r="C37" i="57" a="1"/>
  <c r="C37" i="57" s="1"/>
  <c r="C36" i="57" a="1"/>
  <c r="C36" i="57" s="1"/>
  <c r="C35" i="57" a="1"/>
  <c r="C35" i="57" s="1"/>
  <c r="C34" i="57" a="1"/>
  <c r="C34" i="57" s="1"/>
  <c r="E33" i="57"/>
  <c r="D33" i="57"/>
  <c r="C33" i="57" a="1"/>
  <c r="C33" i="57" s="1"/>
  <c r="E32" i="57"/>
  <c r="D32" i="57"/>
  <c r="C32" i="57" a="1"/>
  <c r="C32" i="57" s="1"/>
  <c r="E31" i="57" a="1"/>
  <c r="E31" i="57" s="1"/>
  <c r="D31" i="57" a="1"/>
  <c r="D31" i="57" s="1"/>
  <c r="C31" i="57" a="1"/>
  <c r="C31" i="57" s="1"/>
  <c r="E30" i="57" a="1"/>
  <c r="E30" i="57" s="1"/>
  <c r="D30" i="57" a="1"/>
  <c r="D30" i="57" s="1"/>
  <c r="C30" i="57" a="1"/>
  <c r="C30" i="57" s="1"/>
  <c r="C27" i="57"/>
  <c r="C26" i="57" a="1"/>
  <c r="C26" i="57" s="1"/>
  <c r="C25" i="57"/>
  <c r="C24" i="57" a="1"/>
  <c r="C24" i="57" s="1"/>
  <c r="C3" i="57" a="1"/>
  <c r="C3" i="57" s="1"/>
  <c r="C41" i="56" a="1"/>
  <c r="C41" i="56" s="1"/>
  <c r="C40" i="56" a="1"/>
  <c r="C40" i="56" s="1"/>
  <c r="C39" i="56" a="1"/>
  <c r="C39" i="56" s="1"/>
  <c r="C38" i="56" a="1"/>
  <c r="C38" i="56" s="1"/>
  <c r="C37" i="56" a="1"/>
  <c r="C37" i="56" s="1"/>
  <c r="C36" i="56" a="1"/>
  <c r="C36" i="56" s="1"/>
  <c r="C35" i="56" a="1"/>
  <c r="C35" i="56" s="1"/>
  <c r="C34" i="56" a="1"/>
  <c r="C34" i="56" s="1"/>
  <c r="E33" i="56"/>
  <c r="D33" i="56"/>
  <c r="C33" i="56" a="1"/>
  <c r="C33" i="56" s="1"/>
  <c r="E32" i="56"/>
  <c r="D32" i="56"/>
  <c r="C32" i="56" a="1"/>
  <c r="C32" i="56" s="1"/>
  <c r="E31" i="56" a="1"/>
  <c r="E31" i="56" s="1"/>
  <c r="D31" i="56" a="1"/>
  <c r="D31" i="56" s="1"/>
  <c r="C31" i="56" a="1"/>
  <c r="C31" i="56" s="1"/>
  <c r="E30" i="56" a="1"/>
  <c r="E30" i="56" s="1"/>
  <c r="D30" i="56" a="1"/>
  <c r="D30" i="56" s="1"/>
  <c r="C30" i="56" a="1"/>
  <c r="C30" i="56" s="1"/>
  <c r="C27" i="56"/>
  <c r="C26" i="56"/>
  <c r="C26" i="56" a="1"/>
  <c r="C25" i="56"/>
  <c r="C24" i="56" a="1"/>
  <c r="C24" i="56" s="1"/>
  <c r="C3" i="56" a="1"/>
  <c r="C3" i="56" s="1"/>
  <c r="C41" i="55" l="1" a="1"/>
  <c r="C41" i="55" s="1"/>
  <c r="C40" i="55" a="1"/>
  <c r="C40" i="55" s="1"/>
  <c r="C39" i="55" a="1"/>
  <c r="C39" i="55" s="1"/>
  <c r="C38" i="55"/>
  <c r="C38" i="55" a="1"/>
  <c r="C37" i="55" a="1"/>
  <c r="C37" i="55" s="1"/>
  <c r="C36" i="55" a="1"/>
  <c r="C36" i="55" s="1"/>
  <c r="C35" i="55" a="1"/>
  <c r="C35" i="55" s="1"/>
  <c r="C34" i="55"/>
  <c r="C34" i="55" a="1"/>
  <c r="E33" i="55"/>
  <c r="D33" i="55"/>
  <c r="C33" i="55" a="1"/>
  <c r="C33" i="55" s="1"/>
  <c r="E32" i="55"/>
  <c r="D32" i="55"/>
  <c r="C32" i="55" a="1"/>
  <c r="C32" i="55" s="1"/>
  <c r="E31" i="55" a="1"/>
  <c r="E31" i="55" s="1"/>
  <c r="D31" i="55" a="1"/>
  <c r="D31" i="55" s="1"/>
  <c r="C31" i="55" a="1"/>
  <c r="C31" i="55" s="1"/>
  <c r="E30" i="55"/>
  <c r="E30" i="55" a="1"/>
  <c r="D30" i="55" a="1"/>
  <c r="D30" i="55" s="1"/>
  <c r="C30" i="55" a="1"/>
  <c r="C30" i="55" s="1"/>
  <c r="C27" i="55"/>
  <c r="C26" i="55" a="1"/>
  <c r="C26" i="55" s="1"/>
  <c r="C25" i="55"/>
  <c r="C24" i="55" a="1"/>
  <c r="C24" i="55" s="1"/>
  <c r="C3" i="55" a="1"/>
  <c r="C3" i="55" s="1"/>
  <c r="C41" i="54" a="1"/>
  <c r="C41" i="54" s="1"/>
  <c r="C40" i="54" a="1"/>
  <c r="C40" i="54" s="1"/>
  <c r="C39" i="54" a="1"/>
  <c r="C39" i="54" s="1"/>
  <c r="C38" i="54" a="1"/>
  <c r="C38" i="54" s="1"/>
  <c r="C37" i="54" a="1"/>
  <c r="C37" i="54" s="1"/>
  <c r="C36" i="54" a="1"/>
  <c r="C36" i="54" s="1"/>
  <c r="C35" i="54" a="1"/>
  <c r="C35" i="54" s="1"/>
  <c r="C34" i="54" a="1"/>
  <c r="C34" i="54" s="1"/>
  <c r="E33" i="54"/>
  <c r="D33" i="54"/>
  <c r="C33" i="54" a="1"/>
  <c r="C33" i="54" s="1"/>
  <c r="E32" i="54"/>
  <c r="D32" i="54"/>
  <c r="C32" i="54" a="1"/>
  <c r="C32" i="54" s="1"/>
  <c r="E31" i="54" a="1"/>
  <c r="E31" i="54" s="1"/>
  <c r="D31" i="54" a="1"/>
  <c r="D31" i="54" s="1"/>
  <c r="C31" i="54" a="1"/>
  <c r="C31" i="54" s="1"/>
  <c r="E30" i="54" a="1"/>
  <c r="E30" i="54" s="1"/>
  <c r="D30" i="54" a="1"/>
  <c r="D30" i="54" s="1"/>
  <c r="C30" i="54" a="1"/>
  <c r="C30" i="54" s="1"/>
  <c r="C27" i="54"/>
  <c r="C26" i="54"/>
  <c r="C26" i="54" a="1"/>
  <c r="C25" i="54"/>
  <c r="C24" i="54" a="1"/>
  <c r="C24" i="54" s="1"/>
  <c r="C3" i="54" a="1"/>
  <c r="C3" i="54" s="1"/>
  <c r="C41" i="53"/>
  <c r="C41" i="53" a="1"/>
  <c r="C40" i="53" a="1"/>
  <c r="C40" i="53" s="1"/>
  <c r="C39" i="53" a="1"/>
  <c r="C39" i="53" s="1"/>
  <c r="C38" i="53"/>
  <c r="C38" i="53" a="1"/>
  <c r="C37" i="53"/>
  <c r="C37" i="53" a="1"/>
  <c r="C36" i="53" a="1"/>
  <c r="C36" i="53" s="1"/>
  <c r="C35" i="53" a="1"/>
  <c r="C35" i="53" s="1"/>
  <c r="C34" i="53"/>
  <c r="C34" i="53" a="1"/>
  <c r="E33" i="53"/>
  <c r="D33" i="53"/>
  <c r="C33" i="53" a="1"/>
  <c r="C33" i="53" s="1"/>
  <c r="E32" i="53"/>
  <c r="D32" i="53"/>
  <c r="C32" i="53" a="1"/>
  <c r="C32" i="53" s="1"/>
  <c r="E31" i="53"/>
  <c r="E31" i="53" a="1"/>
  <c r="D31" i="53" a="1"/>
  <c r="D31" i="53" s="1"/>
  <c r="C31" i="53" a="1"/>
  <c r="C31" i="53" s="1"/>
  <c r="E30" i="53"/>
  <c r="E30" i="53" a="1"/>
  <c r="D30" i="53"/>
  <c r="D30" i="53" a="1"/>
  <c r="C30" i="53" a="1"/>
  <c r="C30" i="53" s="1"/>
  <c r="C27" i="53"/>
  <c r="C26" i="53" a="1"/>
  <c r="C26" i="53" s="1"/>
  <c r="C25" i="53"/>
  <c r="C24" i="53"/>
  <c r="C24" i="53" a="1"/>
  <c r="C3" i="53" a="1"/>
  <c r="C3" i="53" s="1"/>
  <c r="C41" i="52" l="1" a="1"/>
  <c r="C41" i="52" s="1"/>
  <c r="C40" i="52" a="1"/>
  <c r="C40" i="52" s="1"/>
  <c r="C39" i="52" a="1"/>
  <c r="C39" i="52" s="1"/>
  <c r="C38" i="52" a="1"/>
  <c r="C38" i="52" s="1"/>
  <c r="C37" i="52" a="1"/>
  <c r="C37" i="52" s="1"/>
  <c r="C36" i="52" a="1"/>
  <c r="C36" i="52" s="1"/>
  <c r="C35" i="52" a="1"/>
  <c r="C35" i="52" s="1"/>
  <c r="C34" i="52" a="1"/>
  <c r="C34" i="52" s="1"/>
  <c r="E33" i="52"/>
  <c r="D33" i="52"/>
  <c r="C33" i="52" a="1"/>
  <c r="C33" i="52" s="1"/>
  <c r="E32" i="52"/>
  <c r="D32" i="52"/>
  <c r="C32" i="52" a="1"/>
  <c r="C32" i="52" s="1"/>
  <c r="E31" i="52" a="1"/>
  <c r="E31" i="52" s="1"/>
  <c r="D31" i="52" a="1"/>
  <c r="D31" i="52" s="1"/>
  <c r="C31" i="52" a="1"/>
  <c r="C31" i="52" s="1"/>
  <c r="E30" i="52" a="1"/>
  <c r="E30" i="52" s="1"/>
  <c r="D30" i="52" a="1"/>
  <c r="D30" i="52" s="1"/>
  <c r="C30" i="52" a="1"/>
  <c r="C30" i="52" s="1"/>
  <c r="C27" i="52"/>
  <c r="C26" i="52"/>
  <c r="C26" i="52" a="1"/>
  <c r="C25" i="52"/>
  <c r="C24" i="52" a="1"/>
  <c r="C24" i="52" s="1"/>
  <c r="C3" i="52" a="1"/>
  <c r="C3" i="52" s="1"/>
  <c r="C41" i="51" a="1"/>
  <c r="C41" i="51" s="1"/>
  <c r="C40" i="51" a="1"/>
  <c r="C40" i="51" s="1"/>
  <c r="C39" i="51" a="1"/>
  <c r="C39" i="51" s="1"/>
  <c r="C38" i="51" a="1"/>
  <c r="C38" i="51" s="1"/>
  <c r="C37" i="51" a="1"/>
  <c r="C37" i="51" s="1"/>
  <c r="C36" i="51" a="1"/>
  <c r="C36" i="51" s="1"/>
  <c r="C35" i="51" a="1"/>
  <c r="C35" i="51" s="1"/>
  <c r="C34" i="51" a="1"/>
  <c r="C34" i="51" s="1"/>
  <c r="E33" i="51"/>
  <c r="D33" i="51"/>
  <c r="C33" i="51" a="1"/>
  <c r="C33" i="51" s="1"/>
  <c r="E32" i="51"/>
  <c r="D32" i="51"/>
  <c r="C32" i="51" a="1"/>
  <c r="C32" i="51" s="1"/>
  <c r="E31" i="51" a="1"/>
  <c r="E31" i="51" s="1"/>
  <c r="D31" i="51" a="1"/>
  <c r="D31" i="51" s="1"/>
  <c r="C31" i="51" a="1"/>
  <c r="C31" i="51" s="1"/>
  <c r="E30" i="51" a="1"/>
  <c r="E30" i="51" s="1"/>
  <c r="D30" i="51" a="1"/>
  <c r="D30" i="51" s="1"/>
  <c r="C30" i="51" a="1"/>
  <c r="C30" i="51" s="1"/>
  <c r="C27" i="51"/>
  <c r="C26" i="51"/>
  <c r="C26" i="51" a="1"/>
  <c r="C25" i="51"/>
  <c r="C24" i="51" a="1"/>
  <c r="C24" i="51" s="1"/>
  <c r="C3" i="51" a="1"/>
  <c r="C3" i="51" s="1"/>
  <c r="C41" i="37" l="1" a="1"/>
  <c r="C41" i="37" s="1"/>
  <c r="C40" i="37" a="1"/>
  <c r="C40" i="37" s="1"/>
  <c r="C39" i="37" a="1"/>
  <c r="C39" i="37" s="1"/>
  <c r="C38" i="37" a="1"/>
  <c r="C38" i="37" s="1"/>
  <c r="C37" i="37" a="1"/>
  <c r="C37" i="37" s="1"/>
  <c r="C36" i="37" a="1"/>
  <c r="C36" i="37" s="1"/>
  <c r="C35" i="37" a="1"/>
  <c r="C35" i="37" s="1"/>
  <c r="C34" i="37"/>
  <c r="C34" i="37" a="1"/>
  <c r="E33" i="37"/>
  <c r="D33" i="37"/>
  <c r="C33" i="37" a="1"/>
  <c r="C33" i="37" s="1"/>
  <c r="E32" i="37"/>
  <c r="D32" i="37"/>
  <c r="C32" i="37" a="1"/>
  <c r="C32" i="37" s="1"/>
  <c r="E31" i="37"/>
  <c r="E31" i="37" a="1"/>
  <c r="D31" i="37" a="1"/>
  <c r="D31" i="37" s="1"/>
  <c r="C31" i="37" a="1"/>
  <c r="C31" i="37" s="1"/>
  <c r="E30" i="37" a="1"/>
  <c r="E30" i="37" s="1"/>
  <c r="D30" i="37"/>
  <c r="D30" i="37" a="1"/>
  <c r="C30" i="37" a="1"/>
  <c r="C30" i="37" s="1"/>
  <c r="C27" i="37"/>
  <c r="C26" i="37" a="1"/>
  <c r="C26" i="37" s="1"/>
  <c r="C25" i="37"/>
  <c r="C24" i="37" a="1"/>
  <c r="C24" i="37" s="1"/>
  <c r="C3" i="37" a="1"/>
  <c r="C3" i="37" s="1"/>
  <c r="C41" i="36" a="1"/>
  <c r="C41" i="36" s="1"/>
  <c r="C40" i="36" a="1"/>
  <c r="C40" i="36" s="1"/>
  <c r="C39" i="36" a="1"/>
  <c r="C39" i="36" s="1"/>
  <c r="C38" i="36" a="1"/>
  <c r="C38" i="36" s="1"/>
  <c r="C37" i="36" a="1"/>
  <c r="C37" i="36" s="1"/>
  <c r="C36" i="36" a="1"/>
  <c r="C36" i="36" s="1"/>
  <c r="C35" i="36" a="1"/>
  <c r="C35" i="36" s="1"/>
  <c r="C34" i="36" a="1"/>
  <c r="C34" i="36" s="1"/>
  <c r="E33" i="36"/>
  <c r="D33" i="36"/>
  <c r="C33" i="36" a="1"/>
  <c r="C33" i="36" s="1"/>
  <c r="E32" i="36"/>
  <c r="D32" i="36"/>
  <c r="C32" i="36" a="1"/>
  <c r="C32" i="36" s="1"/>
  <c r="E31" i="36" a="1"/>
  <c r="E31" i="36" s="1"/>
  <c r="D31" i="36" a="1"/>
  <c r="D31" i="36" s="1"/>
  <c r="C31" i="36" a="1"/>
  <c r="C31" i="36" s="1"/>
  <c r="E30" i="36" a="1"/>
  <c r="E30" i="36" s="1"/>
  <c r="D30" i="36" a="1"/>
  <c r="D30" i="36" s="1"/>
  <c r="C30" i="36" a="1"/>
  <c r="C30" i="36" s="1"/>
  <c r="C27" i="36"/>
  <c r="C26" i="36" a="1"/>
  <c r="C26" i="36" s="1"/>
  <c r="C25" i="36"/>
  <c r="C24" i="36" a="1"/>
  <c r="C24" i="36" s="1"/>
  <c r="C3" i="36" a="1"/>
  <c r="C3" i="36" s="1"/>
  <c r="C26" i="1" l="1" a="1"/>
  <c r="C26" i="1" s="1"/>
  <c r="AA3" i="3" l="1" a="1"/>
  <c r="AA3" i="3" s="1"/>
  <c r="Z2" i="3"/>
  <c r="C27" i="1"/>
  <c r="C24" i="1" a="1"/>
  <c r="C24" i="1" s="1"/>
  <c r="AA2" i="3"/>
  <c r="C3" i="1" a="1"/>
  <c r="C3" i="1" s="1"/>
  <c r="D33" i="1"/>
  <c r="E33" i="1"/>
  <c r="E32" i="1"/>
  <c r="D32" i="1"/>
  <c r="D31" i="1" a="1"/>
  <c r="D31" i="1" s="1"/>
  <c r="E31" i="1" a="1"/>
  <c r="E31" i="1" s="1"/>
  <c r="E30" i="1" a="1"/>
  <c r="E30" i="1" s="1"/>
  <c r="D30" i="1" a="1"/>
  <c r="D30" i="1" s="1"/>
  <c r="C37" i="1" a="1"/>
  <c r="C37" i="1" s="1"/>
  <c r="C31" i="1" a="1"/>
  <c r="C31" i="1" s="1"/>
  <c r="C30" i="1" a="1"/>
  <c r="C30" i="1" s="1"/>
  <c r="C33" i="1" a="1"/>
  <c r="C33" i="1" s="1"/>
  <c r="C32" i="1" a="1"/>
  <c r="C32" i="1" s="1"/>
  <c r="AC2" i="3" a="1"/>
  <c r="AC2" i="3" s="1"/>
  <c r="C41" i="1" a="1"/>
  <c r="C41" i="1" s="1"/>
  <c r="C40" i="1" a="1"/>
  <c r="C40" i="1" s="1"/>
  <c r="C36" i="1" a="1"/>
  <c r="C36" i="1" s="1"/>
  <c r="C38" i="1" a="1"/>
  <c r="C38" i="1" s="1"/>
  <c r="C39" i="1" a="1"/>
  <c r="C39" i="1" s="1"/>
  <c r="C35" i="1" a="1"/>
  <c r="C35" i="1" s="1"/>
  <c r="C34" i="1" a="1"/>
  <c r="C34" i="1" s="1"/>
  <c r="C25" i="1"/>
  <c r="AD3" i="3" l="1" a="1"/>
  <c r="AD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<sst xmlns="http://schemas.openxmlformats.org/spreadsheetml/2006/main" count="3831" uniqueCount="276">
  <si>
    <t>Field</t>
  </si>
  <si>
    <t>COM Port</t>
  </si>
  <si>
    <t>IP Address</t>
  </si>
  <si>
    <t>Dragon</t>
  </si>
  <si>
    <t>Linux</t>
  </si>
  <si>
    <t>Content</t>
  </si>
  <si>
    <t>Test Number</t>
  </si>
  <si>
    <t>Test Mode</t>
  </si>
  <si>
    <t>Mesh</t>
  </si>
  <si>
    <t>Test Type</t>
  </si>
  <si>
    <t>Sweep</t>
  </si>
  <si>
    <t>Test Name</t>
  </si>
  <si>
    <t>Test Time</t>
  </si>
  <si>
    <t>Configuration (Mask)</t>
  </si>
  <si>
    <t>Check Core</t>
  </si>
  <si>
    <t>Used in Mesh Mode to check an specific core data, such as voltage, frequency, license, dcf… If slice, this is set to the tested core.</t>
  </si>
  <si>
    <t>Voltage Type</t>
  </si>
  <si>
    <t>vbump</t>
  </si>
  <si>
    <t>vbump or fixed</t>
  </si>
  <si>
    <t>Voltage IA</t>
  </si>
  <si>
    <t>Voltage CFC</t>
  </si>
  <si>
    <t>Leave Blank if not used</t>
  </si>
  <si>
    <t>Frequency IA</t>
  </si>
  <si>
    <t>Frequency CFC</t>
  </si>
  <si>
    <t>Visual ID</t>
  </si>
  <si>
    <t>Bucket</t>
  </si>
  <si>
    <t>FastBoot</t>
  </si>
  <si>
    <t>True or False</t>
  </si>
  <si>
    <t>Core License</t>
  </si>
  <si>
    <t>600W Unit</t>
  </si>
  <si>
    <t>Test Configuration</t>
  </si>
  <si>
    <t>Value</t>
  </si>
  <si>
    <t>Type</t>
  </si>
  <si>
    <t>Frequency</t>
  </si>
  <si>
    <t>Domain</t>
  </si>
  <si>
    <t>IA</t>
  </si>
  <si>
    <t>Start</t>
  </si>
  <si>
    <t>End</t>
  </si>
  <si>
    <t>Steps</t>
  </si>
  <si>
    <t>Loops</t>
  </si>
  <si>
    <t>ShmooFile</t>
  </si>
  <si>
    <t>ShmooLabel</t>
  </si>
  <si>
    <t>COREFIX</t>
  </si>
  <si>
    <t>Test Modes</t>
  </si>
  <si>
    <t>Slice</t>
  </si>
  <si>
    <t>Shmoo</t>
  </si>
  <si>
    <t>Mask Options</t>
  </si>
  <si>
    <t>Use Physical Core Number</t>
  </si>
  <si>
    <t>Mesh Options: RowPass1, RowPass2, RowPass3, FirstPass, SecondPass, ThirdPass || Leave Blank if Full Chip</t>
  </si>
  <si>
    <t>fixed</t>
  </si>
  <si>
    <t>1: SSE/128</t>
  </si>
  <si>
    <t>2: AVX2/256 Light</t>
  </si>
  <si>
    <t>3: AVX2/256 Heavy</t>
  </si>
  <si>
    <t>4: AVX3/512 Light</t>
  </si>
  <si>
    <t>5: AVX3/512 Heavy</t>
  </si>
  <si>
    <t>6: TMUL Light</t>
  </si>
  <si>
    <t>7: TMUL Heavy</t>
  </si>
  <si>
    <t>Serial Port to communicate to MB</t>
  </si>
  <si>
    <t>IP Address to communicate to MB</t>
  </si>
  <si>
    <t>Wait time to be used for watchdog monitoring of console, in case unit is hang or failed during execution</t>
  </si>
  <si>
    <t>Description</t>
  </si>
  <si>
    <t>vbumps</t>
  </si>
  <si>
    <t>Max</t>
  </si>
  <si>
    <t>Min</t>
  </si>
  <si>
    <t>CFC</t>
  </si>
  <si>
    <t>FIXED</t>
  </si>
  <si>
    <t>Default</t>
  </si>
  <si>
    <t>Hi</t>
  </si>
  <si>
    <t>Lo</t>
  </si>
  <si>
    <t>Value exceeds allowed max value, please check</t>
  </si>
  <si>
    <t>Value is lower than minimum allowed value, please check</t>
  </si>
  <si>
    <t>Case</t>
  </si>
  <si>
    <t>Text</t>
  </si>
  <si>
    <t>Reset</t>
  </si>
  <si>
    <t>Reset on PASS</t>
  </si>
  <si>
    <t>Reset Unit after each PASS</t>
  </si>
  <si>
    <t>Reset Unit before Starting first experiment</t>
  </si>
  <si>
    <t>Binary</t>
  </si>
  <si>
    <t>if Mesh Masking is selected, set this to False</t>
  </si>
  <si>
    <t>Voltage</t>
  </si>
  <si>
    <t>Number of Loops to run</t>
  </si>
  <si>
    <t>NotSelected</t>
  </si>
  <si>
    <t>Not used</t>
  </si>
  <si>
    <t>Select domain: IA or CFC</t>
  </si>
  <si>
    <t>Select Type: Frequency or Voltage</t>
  </si>
  <si>
    <t>Size of each step</t>
  </si>
  <si>
    <t>Path to Shmoo Config file</t>
  </si>
  <si>
    <t>Label of Shmoo to be used</t>
  </si>
  <si>
    <t>First Number to be assigned to your test iteration</t>
  </si>
  <si>
    <t>Type of test: Loops, Sweep or Shmoo</t>
  </si>
  <si>
    <t>Test Mode: Slice or Mesh</t>
  </si>
  <si>
    <t>Unit Visual ID</t>
  </si>
  <si>
    <t>Unit Assigned Bucket</t>
  </si>
  <si>
    <t>RowPass1</t>
  </si>
  <si>
    <t>RowPass2</t>
  </si>
  <si>
    <t>RowPass3</t>
  </si>
  <si>
    <t>FirstPass</t>
  </si>
  <si>
    <t>SecondPass</t>
  </si>
  <si>
    <t>ThirdPass</t>
  </si>
  <si>
    <t>Mode</t>
  </si>
  <si>
    <t>Not Configured</t>
  </si>
  <si>
    <t>Empty</t>
  </si>
  <si>
    <t>Field Notes</t>
  </si>
  <si>
    <t>Name of Test to be executed</t>
  </si>
  <si>
    <t>In range. Leave Blank if not used</t>
  </si>
  <si>
    <t>Limits</t>
  </si>
  <si>
    <t>MAX</t>
  </si>
  <si>
    <t>MIN</t>
  </si>
  <si>
    <t>Start point of Sweep. Consider above limits for CFC / IA</t>
  </si>
  <si>
    <t>End point of Sweep. Consider above limits for CFC / IA</t>
  </si>
  <si>
    <t>Experiment</t>
  </si>
  <si>
    <t>Enabled</t>
  </si>
  <si>
    <t>Disabled</t>
  </si>
  <si>
    <t>Modes</t>
  </si>
  <si>
    <t>Values</t>
  </si>
  <si>
    <t>Pseudo Config</t>
  </si>
  <si>
    <t>Pseudo</t>
  </si>
  <si>
    <t>Set if using Pseudo Mesh Content, to disable HT</t>
  </si>
  <si>
    <t>C:\SystemDebug\Shmoos\RVPShmooConfig.json</t>
  </si>
  <si>
    <t>Disable 2 Cores</t>
  </si>
  <si>
    <t>2CPM</t>
  </si>
  <si>
    <t>Set if Disabling 2 Cores per Module, Hex Value of Cores to disable</t>
  </si>
  <si>
    <t>Product</t>
  </si>
  <si>
    <t>CWF</t>
  </si>
  <si>
    <t>Dis2CPM</t>
  </si>
  <si>
    <t>0xa</t>
  </si>
  <si>
    <t>0xc</t>
  </si>
  <si>
    <t>0x3</t>
  </si>
  <si>
    <t>0x9</t>
  </si>
  <si>
    <t>0x5</t>
  </si>
  <si>
    <t>GNR</t>
  </si>
  <si>
    <t>Config</t>
  </si>
  <si>
    <t>Teraterm TTL Macros Folder Location with Commands.ttl and Connect.ttl files</t>
  </si>
  <si>
    <t>Script File to be loaded before Test Execution</t>
  </si>
  <si>
    <t>TTL Folder</t>
  </si>
  <si>
    <t>Scripts File</t>
  </si>
  <si>
    <t>BigCore</t>
  </si>
  <si>
    <t>PYSVConsole</t>
  </si>
  <si>
    <t>Select your content: Linux | Dragon | PYSConsole (Custom Python Script)</t>
  </si>
  <si>
    <t>Lookup String for a Pass Condition of the Test</t>
  </si>
  <si>
    <t>Lookup String for a Fail Condition of the Test</t>
  </si>
  <si>
    <t>Pass String</t>
  </si>
  <si>
    <t>Fail String</t>
  </si>
  <si>
    <t>Test Complete</t>
  </si>
  <si>
    <t>Test Failed</t>
  </si>
  <si>
    <t>Boot Breakpoint</t>
  </si>
  <si>
    <t>Boot Breakpoint only used when PYSVConsole mode is selected. This will stops current boot at selected break, useful for debugging Boot Units</t>
  </si>
  <si>
    <t>IDIPAR</t>
  </si>
  <si>
    <t>Linux Pre Command</t>
  </si>
  <si>
    <t>Linux Post Command</t>
  </si>
  <si>
    <t>Startup Linux</t>
  </si>
  <si>
    <t>Linux Path</t>
  </si>
  <si>
    <t>Linux Content Wait Time</t>
  </si>
  <si>
    <t>Linux Content Line 0</t>
  </si>
  <si>
    <t>Linux Content Line 1</t>
  </si>
  <si>
    <t>Optional -- Linux Shell Command or script to be used before running Content</t>
  </si>
  <si>
    <t>Optional -- Linux Shell Command or script to be used after running Content</t>
  </si>
  <si>
    <t>Optional -- Script to start linux from EFI -- usually bootlinux.nsh or startup_linux.nsh</t>
  </si>
  <si>
    <t>Optional -- Linux Path to content</t>
  </si>
  <si>
    <t>Optional -- Wait Time for Content</t>
  </si>
  <si>
    <t>Optional -- Content Command Line [ up to 10 can be set add more lines if required]</t>
  </si>
  <si>
    <t>Dragon Pre Command</t>
  </si>
  <si>
    <t>Dragon Post Command</t>
  </si>
  <si>
    <t>Startup Dragon</t>
  </si>
  <si>
    <t>ULX Path</t>
  </si>
  <si>
    <t>ULX CPU</t>
  </si>
  <si>
    <t>Product Chop</t>
  </si>
  <si>
    <t>VVAR0</t>
  </si>
  <si>
    <t>VVAR1</t>
  </si>
  <si>
    <t>VVAR2</t>
  </si>
  <si>
    <t>VVAR3</t>
  </si>
  <si>
    <t>VVAR_EXTRA</t>
  </si>
  <si>
    <t>Dragon Content Line</t>
  </si>
  <si>
    <t>Merlin Path</t>
  </si>
  <si>
    <t>Merlin Drive</t>
  </si>
  <si>
    <t>Stop on Fail</t>
  </si>
  <si>
    <t>Optional -- EFI Shell Command or script to be used before running Content</t>
  </si>
  <si>
    <t>Optional -- EFI Shell Command or script to be used after running Content</t>
  </si>
  <si>
    <t>Optional -- Script with preset conditions for the content [ex. ReserveMemory]</t>
  </si>
  <si>
    <t>ULX -- Path to script</t>
  </si>
  <si>
    <t>ULX -- CPU to be used [GNR_B0, CWF]</t>
  </si>
  <si>
    <t>ULX -- Specify Product</t>
  </si>
  <si>
    <t>GNR_B0</t>
  </si>
  <si>
    <t>FS1:\EFI\ulx</t>
  </si>
  <si>
    <t>startup_efi.nsh</t>
  </si>
  <si>
    <t>0x4C4B40</t>
  </si>
  <si>
    <t>0x1000000</t>
  </si>
  <si>
    <t>Dragon Content Path</t>
  </si>
  <si>
    <t>MerlinX.efi</t>
  </si>
  <si>
    <t>Merlin Name</t>
  </si>
  <si>
    <t>FS1:</t>
  </si>
  <si>
    <t>FS1:\EFI\Version8.15\BinFiles\Release</t>
  </si>
  <si>
    <t>Optional -- Additional VVAR Parameters</t>
  </si>
  <si>
    <t>Path to Content</t>
  </si>
  <si>
    <t>Content Command Line [ up to 10 can be set add more lines if required]</t>
  </si>
  <si>
    <t>Optional -- Filters to content, add them sepparated by comma</t>
  </si>
  <si>
    <t>Defines if run regression will stop after first fail</t>
  </si>
  <si>
    <t>MERLIN -- Name of the Merlin file</t>
  </si>
  <si>
    <t>MERLIN -- Path to Merlin Files</t>
  </si>
  <si>
    <t>MERLIN -- Drive where Merlin is located</t>
  </si>
  <si>
    <t>VVAR -- Test Runtime [ex. 3 sec = 3,000,000 us = 0x2DC6C0]</t>
  </si>
  <si>
    <t>VVAR -- 32-bit fixed point value to scale VV[0x00] -- Use 80064000 for System</t>
  </si>
  <si>
    <t>VVAR -- Thread Count VVAR -- Mesh Content use: 0x1000000  -- Slice Content Use: GNR = 0x1000002, CWF = 0x1000004</t>
  </si>
  <si>
    <t xml:space="preserve">VVAR -- Debug Flags -- Check: https://wiki.ith.intel.com/spaces/MPV/pages/1206292923/Dragon+VVDEBUG+Decoder </t>
  </si>
  <si>
    <t>0x4000000</t>
  </si>
  <si>
    <t>TestUnitData</t>
  </si>
  <si>
    <t>Baseline</t>
  </si>
  <si>
    <t>ppvc</t>
  </si>
  <si>
    <t>/usr/local/bin/ocelot --flow /root/content/LOS/LOS-23WW24/Mlc/flows/Mlc_mp1.xml --write_log_file_to_stdout=on --ituff=on</t>
  </si>
  <si>
    <t>/usr/local/bin/ocelot --flow /root/content/LOS/LOS-23WW24/Mlc/flows/Mlc_data_integrity.xml --write_log_file_to_stdout=on --ituff=on</t>
  </si>
  <si>
    <t>Linux Pass String</t>
  </si>
  <si>
    <t>Optional -- Linux Pass string if empty will use global fail string</t>
  </si>
  <si>
    <t>Linux Fail String</t>
  </si>
  <si>
    <t>Optional -- Linux Fail string if empty will use global pass string</t>
  </si>
  <si>
    <t>Linux Content Line 2</t>
  </si>
  <si>
    <t>startup_linux.nsh</t>
  </si>
  <si>
    <t>0x1000002</t>
  </si>
  <si>
    <t>FS1:\content\Dragon\GNR1C_Q_Slice_2M_pseudoSBFT_System</t>
  </si>
  <si>
    <t>Post Process</t>
  </si>
  <si>
    <t>Script File to be loaded after Test Execution</t>
  </si>
  <si>
    <t>759Q17J500189</t>
  </si>
  <si>
    <t>3Strike</t>
  </si>
  <si>
    <t>Q:\DPM_Debug\GNR\Logs\3Strike\759Q17J500189\\TTL_Linux</t>
  </si>
  <si>
    <t>10.250.0.2</t>
  </si>
  <si>
    <t>exit: pass</t>
  </si>
  <si>
    <t>exit: fail</t>
  </si>
  <si>
    <t>3strike</t>
  </si>
  <si>
    <t>Slice_TSL_mini</t>
  </si>
  <si>
    <t>cd /root/content/DPM/TSL</t>
  </si>
  <si>
    <t>S:\GNR\RVP\TTLs\TTL_DragonMesh</t>
  </si>
  <si>
    <t>FS1:\content\Dragon\7410_0x0E_PPV_MegaMem\GNR128C_H_1UP\</t>
  </si>
  <si>
    <t>S:\GNR\\RVP\TTLs\TTL_DragonSlice</t>
  </si>
  <si>
    <t>TSL3s_Breadth</t>
  </si>
  <si>
    <t>/root/content/LOS/TSL/bin/tslengine -F /root/content/DPM/TSL/GNR1C_breadth_HT.list -L 3000 -z U304_Breadth_3s.log -o -r 10</t>
  </si>
  <si>
    <t>TSL1s_Breadth</t>
  </si>
  <si>
    <t>/root/content/LOS/TSL/bin/tslengine -F /root/content/DPM/TSL/GNR1C_breadth_HT.list -L 500 -z U304_Breadth_500ms.log -o -r 10</t>
  </si>
  <si>
    <t>/root/content/LOS/TSL/bin/tslengine -F /root/content/DPM/TSL/GNR1C_breadth_HT.list -L 1000 -z U304_Breadth_1s.log -o -r 10</t>
  </si>
  <si>
    <t>TSL100ms_Breadth</t>
  </si>
  <si>
    <t>TSL500ms_Breadth</t>
  </si>
  <si>
    <t>CFCVoltage</t>
  </si>
  <si>
    <t>CFCFrequency</t>
  </si>
  <si>
    <t>IAVoltage</t>
  </si>
  <si>
    <t>0x1C9C380</t>
  </si>
  <si>
    <t>BaselineXtended</t>
  </si>
  <si>
    <t>BaselinePPVC</t>
  </si>
  <si>
    <t>IAFrequencyLO</t>
  </si>
  <si>
    <t>IAFrequencyHI</t>
  </si>
  <si>
    <t>TSL3s_BR</t>
  </si>
  <si>
    <t>TSL500s_BR</t>
  </si>
  <si>
    <t>TSL100ms_BR</t>
  </si>
  <si>
    <t>TSL1s_BR</t>
  </si>
  <si>
    <t>/root/content/LOS/TSL/bin/tslengine -F /root/content/DPM/TSL/GNR1C_BR_HT.list -L 3000 -z U304_BR_3s.log -o -r10</t>
  </si>
  <si>
    <t>TSL3s_Depth</t>
  </si>
  <si>
    <t>TSL1s_Depth</t>
  </si>
  <si>
    <t>TSL500ms_Depth</t>
  </si>
  <si>
    <t>TSL100ms_Depth</t>
  </si>
  <si>
    <t>/root/content/LOS/TSL/bin/tslengine -F /root/content/DPM/TSL/GNR1C_depth_HT.list -L 3000 -z U304_depth_3s.log -o -r 10</t>
  </si>
  <si>
    <t>/root/content/LOS/TSL/bin/tslengine -F /root/content/DPM/TSL/GNR1C_depth_HT.list -L 1000 -z U304_depth_1s.log -o -r 10</t>
  </si>
  <si>
    <t>/root/content/LOS/TSL/bin/tslengine -F /root/content/DPM/TSL/GNR1C_depth_HT.list -L 500 -z U304_depth_500ms.log -o -r 10</t>
  </si>
  <si>
    <t>/root/content/LOS/TSL/bin/tslengine -F /root/content/DPM/TSL/GNR1C_depth_HT.list -L 100 -z U304_depth_100ms.log -o -r 10</t>
  </si>
  <si>
    <t>/root/content/LOS/TSL/bin/tslengine -F /root/content/DPM/TSL/GNR1C_BR_HT.list -L 100 -z U304_BR_100ms.log -o -r10</t>
  </si>
  <si>
    <t>/root/content/LOS/TSL/bin/tslengine -F /root/content/DPM/TSL/GNR1C_BR_HT.list -L 500 -z U304_BR_500ms.log -o -r10</t>
  </si>
  <si>
    <t>/root/content/LOS/TSL/bin/tslengine -F /root/content/DPM/TSL/GNR1C_BR_HT.list -L 1000 -z U304_BR_1s.log -o -r10</t>
  </si>
  <si>
    <t>/root/content/LOS/TSL/bin/tslengine -F /root/content/DPM/TSL/GNR1C_breadth_HT.list -L 100 -z U304_Breadth_100ms.log -o -r 10</t>
  </si>
  <si>
    <t>MLC</t>
  </si>
  <si>
    <t>Linux Content Line 3</t>
  </si>
  <si>
    <t>/usr/local/bin/ocelot --flow /root/content/LOS/LOS-23WW24/Mlc/flows/Mlc.xml --write_log_file_to_stdout=on</t>
  </si>
  <si>
    <t>/usr/local/bin/ocelot --flow /root/content/LOS/LOS-23WW24/Mlc/flows/Mlc_data_integrity.xml --write_log_file_to_stdout=on</t>
  </si>
  <si>
    <t>/usr/local/bin/ocelot --flow /root/content/LOS/LOS-23WW24/Mlc/flows/Mlc_mp1.xml --write_log_file_to_stdout=on</t>
  </si>
  <si>
    <t>/usr/local/bin/ocelot --flow /root/content/LOS/LOS-23WW24/Mlc/flows/Mlc_mp2.xml --write_log_file_to_stdout=on</t>
  </si>
  <si>
    <t>Sandstone</t>
  </si>
  <si>
    <t>Result=SUCCESS</t>
  </si>
  <si>
    <t>Result=FAILED</t>
  </si>
  <si>
    <t>cd /root/content/DPM/Sandstone</t>
  </si>
  <si>
    <t>cd /root/content/DPM/MLC</t>
  </si>
  <si>
    <t>/root/content/LOS/TSL/bin/sandstone --max-test-loop-count=5 -t 200 -vv -o 0304_nominal_alltest.log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</si>
</sst>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5" xfId="0" applyBorder="1"/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1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3" xfId="0" applyFont="1" applyBorder="1"/>
    <xf numFmtId="0" fontId="1" fillId="2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8" xfId="0" applyFont="1" applyBorder="1"/>
    <xf numFmtId="0" fontId="0" fillId="0" borderId="9" xfId="0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1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3" borderId="2" xfId="0" applyFill="1" applyBorder="1"/>
    <xf numFmtId="0" fontId="0" fillId="3" borderId="3" xfId="0" applyFill="1" applyBorder="1" applyAlignment="1">
      <alignment horizontal="left"/>
    </xf>
    <xf numFmtId="0" fontId="0" fillId="3" borderId="5" xfId="0" applyFill="1" applyBorder="1"/>
    <xf numFmtId="0" fontId="0" fillId="3" borderId="0" xfId="0" applyFill="1" applyAlignment="1">
      <alignment horizontal="left"/>
    </xf>
    <xf numFmtId="0" fontId="0" fillId="3" borderId="7" xfId="0" applyFill="1" applyBorder="1"/>
    <xf numFmtId="0" fontId="0" fillId="3" borderId="8" xfId="0" applyFill="1" applyBorder="1" applyAlignment="1">
      <alignment horizontal="left"/>
    </xf>
    <xf numFmtId="0" fontId="0" fillId="5" borderId="2" xfId="0" applyFill="1" applyBorder="1"/>
    <xf numFmtId="0" fontId="0" fillId="5" borderId="5" xfId="0" applyFill="1" applyBorder="1"/>
    <xf numFmtId="0" fontId="0" fillId="5" borderId="0" xfId="0" applyFill="1"/>
    <xf numFmtId="0" fontId="0" fillId="5" borderId="3" xfId="0" applyFill="1" applyBorder="1"/>
    <xf numFmtId="0" fontId="0" fillId="5" borderId="4" xfId="0" applyFill="1" applyBorder="1"/>
    <xf numFmtId="0" fontId="0" fillId="5" borderId="6" xfId="0" applyFill="1" applyBorder="1"/>
    <xf numFmtId="0" fontId="0" fillId="3" borderId="4" xfId="0" applyFill="1" applyBorder="1"/>
    <xf numFmtId="0" fontId="0" fillId="3" borderId="6" xfId="0" applyFill="1" applyBorder="1"/>
    <xf numFmtId="0" fontId="0" fillId="3" borderId="9" xfId="0" applyFill="1" applyBorder="1"/>
    <xf numFmtId="0" fontId="0" fillId="5" borderId="0" xfId="0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textRotation="180" wrapText="1"/>
    </xf>
    <xf numFmtId="0" fontId="0" fillId="4" borderId="6" xfId="0" applyFill="1" applyBorder="1" applyAlignment="1">
      <alignment horizontal="center" vertical="center" textRotation="180" wrapText="1"/>
    </xf>
    <xf numFmtId="0" fontId="0" fillId="4" borderId="9" xfId="0" applyFill="1" applyBorder="1" applyAlignment="1">
      <alignment horizontal="center" vertical="center" textRotation="180" wrapText="1"/>
    </xf>
    <xf numFmtId="0" fontId="1" fillId="2" borderId="4" xfId="0" applyFont="1" applyFill="1" applyBorder="1" applyAlignment="1">
      <alignment horizontal="center" vertical="center" textRotation="180" wrapText="1"/>
    </xf>
    <xf numFmtId="0" fontId="1" fillId="2" borderId="6" xfId="0" applyFont="1" applyFill="1" applyBorder="1" applyAlignment="1">
      <alignment horizontal="center" vertical="center" textRotation="180" wrapText="1"/>
    </xf>
    <xf numFmtId="0" fontId="1" fillId="2" borderId="9" xfId="0" applyFont="1" applyFill="1" applyBorder="1" applyAlignment="1">
      <alignment horizontal="center" vertical="center" textRotation="180" wrapText="1"/>
    </xf>
  </cellXfs>
  <cellStyles count="1">
    <cellStyle name="Normal" xfId="0" builtinId="0"/>
  </cellStyles>
  <dxfs count="385"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font>
        <strike/>
        <u val="none"/>
        <color theme="2"/>
      </font>
      <fill>
        <patternFill>
          <bgColor theme="2" tint="-0.499984740745262"/>
        </patternFill>
      </fill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B9CD80-47EB-4D7B-AB7D-F37BAA158142}" name="experiment0" displayName="experiment0" ref="A2:B67" totalsRowShown="0" headerRowDxfId="384">
  <autoFilter ref="A2:B67" xr:uid="{F6B9CD80-47EB-4D7B-AB7D-F37BAA158142}"/>
  <tableColumns count="2">
    <tableColumn id="1" xr3:uid="{73BEFA93-D439-49FC-8D6B-56D287C78610}" name="Field"/>
    <tableColumn id="2" xr3:uid="{2932BC26-6451-4C0C-B0DB-7183C85E53F3}" name="Value" dataDxfId="383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07F14EB-657A-46CE-B317-ED7212F84A2E}" name="experiment016" displayName="experiment016" ref="A2:B67" totalsRowShown="0" headerRowDxfId="364">
  <autoFilter ref="A2:B67" xr:uid="{F6B9CD80-47EB-4D7B-AB7D-F37BAA158142}"/>
  <tableColumns count="2">
    <tableColumn id="1" xr3:uid="{E10D2CC9-9D47-4ADD-831F-99DF5A88474A}" name="Field"/>
    <tableColumn id="2" xr3:uid="{82548476-A004-4AD0-9EF7-323D06EF3AB1}" name="Value" dataDxfId="363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9CDCD11D-A49D-45E0-9886-161A08B53BA5}" name="experiment01617" displayName="experiment01617" ref="A2:B67" totalsRowShown="0" headerRowDxfId="362">
  <autoFilter ref="A2:B67" xr:uid="{F6B9CD80-47EB-4D7B-AB7D-F37BAA158142}"/>
  <tableColumns count="2">
    <tableColumn id="1" xr3:uid="{06CA9896-F3E4-49F2-BD88-71BF0E29DD59}" name="Field"/>
    <tableColumn id="2" xr3:uid="{93E8C83E-B227-47CB-B21F-1D1B33DA7BAB}" name="Value" dataDxfId="361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C02E0A5-2B4E-4362-90BF-3E7E9454693A}" name="experiment01314" displayName="experiment01314" ref="A2:B68" totalsRowShown="0" headerRowDxfId="382">
  <autoFilter ref="A2:B68" xr:uid="{F6B9CD80-47EB-4D7B-AB7D-F37BAA158142}"/>
  <tableColumns count="2">
    <tableColumn id="1" xr3:uid="{0026F0FB-6D96-4DC6-8FC7-1A6918A342D5}" name="Field"/>
    <tableColumn id="2" xr3:uid="{61547307-138E-438B-AE2B-3E79988D0D24}" name="Value" dataDxfId="381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E33BF7-C3A1-4A76-A6B5-1E6A0B6DCBD4}" name="experiment07" displayName="experiment07" ref="A2:B67" totalsRowShown="0" headerRowDxfId="378">
  <autoFilter ref="A2:B67" xr:uid="{F6B9CD80-47EB-4D7B-AB7D-F37BAA158142}"/>
  <tableColumns count="2">
    <tableColumn id="1" xr3:uid="{C8FE4EBF-68C3-4385-B4AB-05B6919F0CD9}" name="Field"/>
    <tableColumn id="2" xr3:uid="{C59C2511-F6DF-4512-B157-714AF2BF3FE6}" name="Value" dataDxfId="377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589A74-88AF-40EE-9924-12B56E04CDCB}" name="experiment078" displayName="experiment078" ref="A2:B67" totalsRowShown="0" headerRowDxfId="376">
  <autoFilter ref="A2:B67" xr:uid="{F6B9CD80-47EB-4D7B-AB7D-F37BAA158142}"/>
  <tableColumns count="2">
    <tableColumn id="1" xr3:uid="{88DDAE74-AD1C-43CC-8A19-A85AD9B4822D}" name="Field"/>
    <tableColumn id="2" xr3:uid="{72B0B9ED-5D4F-4D89-A63F-B13B5DADA46B}" name="Value" dataDxfId="375"/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462968-A520-42D3-84C3-185724666C7B}" name="experiment0712" displayName="experiment0712" ref="A2:B67" totalsRowShown="0" headerRowDxfId="368">
  <autoFilter ref="A2:B67" xr:uid="{F6B9CD80-47EB-4D7B-AB7D-F37BAA158142}"/>
  <tableColumns count="2">
    <tableColumn id="1" xr3:uid="{95478933-E68B-4215-B9FD-C4A4F82B5D3C}" name="Field"/>
    <tableColumn id="2" xr3:uid="{6CDF299B-3911-46EA-94A5-69E466941A0A}" name="Value" dataDxfId="367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82BDB4A-9BC6-41EF-ACF8-C1B9FA857E3A}" name="experiment07815" displayName="experiment07815" ref="A2:B67" totalsRowShown="0" headerRowDxfId="366">
  <autoFilter ref="A2:B67" xr:uid="{F6B9CD80-47EB-4D7B-AB7D-F37BAA158142}"/>
  <tableColumns count="2">
    <tableColumn id="1" xr3:uid="{3C791218-2021-49EC-93F5-FE5BF3D5A235}" name="Field"/>
    <tableColumn id="2" xr3:uid="{6C044631-C85C-438C-89B1-B86D7395AEA3}" name="Value" dataDxfId="365"/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1A14669-9909-476C-9D44-D151C9627C40}" name="experiment0781518" displayName="experiment0781518" ref="A2:B67" totalsRowShown="0" headerRowDxfId="360">
  <autoFilter ref="A2:B67" xr:uid="{F6B9CD80-47EB-4D7B-AB7D-F37BAA158142}"/>
  <tableColumns count="2">
    <tableColumn id="1" xr3:uid="{4DC83920-DAFB-4A04-9A8E-119709A19EA2}" name="Field"/>
    <tableColumn id="2" xr3:uid="{49052357-EA8F-403A-81B0-7B836F45BDD4}" name="Value" dataDxfId="359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CD641A5-228B-49CA-B359-3BBF577AAC82}" name="experiment013" displayName="experiment013" ref="A2:B68" totalsRowShown="0" headerRowDxfId="380">
  <autoFilter ref="A2:B68" xr:uid="{F6B9CD80-47EB-4D7B-AB7D-F37BAA158142}"/>
  <tableColumns count="2">
    <tableColumn id="1" xr3:uid="{B7FF32BF-9EA4-42C0-8686-AACEAF48272F}" name="Field"/>
    <tableColumn id="2" xr3:uid="{4C25C787-74C2-49EB-A560-EA7FC5471ABD}" name="Value" dataDxfId="379"/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5134446-4A01-408D-8208-5999D7D98C90}" name="experiment0139" displayName="experiment0139" ref="A2:B68" totalsRowShown="0" headerRowDxfId="374">
  <autoFilter ref="A2:B68" xr:uid="{F6B9CD80-47EB-4D7B-AB7D-F37BAA158142}"/>
  <tableColumns count="2">
    <tableColumn id="1" xr3:uid="{5511D09A-F100-4EC5-B347-7319BB922169}" name="Field"/>
    <tableColumn id="2" xr3:uid="{831673E5-57CA-403B-83D8-34819C14EB79}" name="Value" dataDxfId="373"/>
  </tableColumns>
  <tableStyleInfo name="TableStyleMedium2" showFirstColumn="0" showLastColumn="0" showRowStripes="0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259566C-C73C-483E-AE3D-BA2C1DCE1608}" name="experiment013910" displayName="experiment013910" ref="A2:B68" totalsRowShown="0" headerRowDxfId="372">
  <autoFilter ref="A2:B68" xr:uid="{F6B9CD80-47EB-4D7B-AB7D-F37BAA158142}"/>
  <tableColumns count="2">
    <tableColumn id="1" xr3:uid="{E3FB1A73-FAC3-467F-906B-4960C642AFBA}" name="Field"/>
    <tableColumn id="2" xr3:uid="{84560FF9-2A07-4842-93D3-2B955FAC39D7}" name="Value" dataDxfId="371"/>
  </tableColumns>
  <tableStyleInfo name="TableStyleMedium2" showFirstColumn="0" showLastColumn="0" showRowStripes="0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86576F2-6DD4-4BB1-8B0C-85A0F12CC814}" name="experiment01391011" displayName="experiment01391011" ref="A2:B68" totalsRowShown="0" headerRowDxfId="370">
  <autoFilter ref="A2:B68" xr:uid="{F6B9CD80-47EB-4D7B-AB7D-F37BAA158142}"/>
  <tableColumns count="2">
    <tableColumn id="1" xr3:uid="{20D79F69-13D4-4E75-8021-561ED9C8E843}" name="Field"/>
    <tableColumn id="2" xr3:uid="{84AD1AB4-DCF5-48F2-BB09-4F2B4D1C88E4}" name="Value" dataDxfId="369"/>
  </tableColumns>
  <tableStyleInfo name="TableStyleMedium2" showFirstColumn="0" showLastColumn="0" showRowStripes="0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7611745-A93D-4768-8C77-2FCBE90643EE}" name="experiment01319" displayName="experiment01319" ref="A2:B68" totalsRowShown="0" headerRowDxfId="358">
  <autoFilter ref="A2:B68" xr:uid="{F6B9CD80-47EB-4D7B-AB7D-F37BAA158142}"/>
  <tableColumns count="2">
    <tableColumn id="1" xr3:uid="{DA5EEF4B-100F-471C-AD49-4E957249A508}" name="Field"/>
    <tableColumn id="2" xr3:uid="{FDD05FEA-A277-4459-9CD9-C9ECBD1B9B89}" name="Value" dataDxfId="357"/>
  </tableColumns>
  <tableStyleInfo name="TableStyleMedium2" showFirstColumn="0" showLastColumn="0" showRowStripes="0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B33941D-E2AA-40D0-A1A8-91BA94E15A7C}" name="experiment0131920" displayName="experiment0131920" ref="A2:B68" totalsRowShown="0" headerRowDxfId="356">
  <autoFilter ref="A2:B68" xr:uid="{F6B9CD80-47EB-4D7B-AB7D-F37BAA158142}"/>
  <tableColumns count="2">
    <tableColumn id="1" xr3:uid="{50708F41-9435-451E-9223-458958BCDC3F}" name="Field"/>
    <tableColumn id="2" xr3:uid="{AF3CC9F3-FD7D-4A26-BC16-129FF43B7E1F}" name="Value" dataDxfId="355"/>
  </tableColumns>
  <tableStyleInfo name="TableStyleMedium2" showFirstColumn="0" showLastColumn="0" showRowStripes="0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58202F1-1359-4334-8AF9-F98B02D6EC93}" name="experiment01319202122" displayName="experiment01319202122" ref="A2:B68" totalsRowShown="0" headerRowDxfId="352">
  <autoFilter ref="A2:B68" xr:uid="{F6B9CD80-47EB-4D7B-AB7D-F37BAA158142}"/>
  <tableColumns count="2">
    <tableColumn id="1" xr3:uid="{D28BEE6A-10AA-4F87-80F4-76B8D9CF69E4}" name="Field"/>
    <tableColumn id="2" xr3:uid="{05E52CF8-DFCB-497C-8A81-370C2E84AAE3}" name="Value" dataDxfId="351"/>
  </tableColumns>
  <tableStyleInfo name="TableStyleMedium2" showFirstColumn="0" showLastColumn="0" showRowStripes="0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344B44BB-17A0-4A5C-BEE3-579D081ABF36}" name="experiment013192021" displayName="experiment013192021" ref="A2:B68" totalsRowShown="0" headerRowDxfId="354">
  <autoFilter ref="A2:B68" xr:uid="{F6B9CD80-47EB-4D7B-AB7D-F37BAA158142}"/>
  <tableColumns count="2">
    <tableColumn id="1" xr3:uid="{85116A62-076D-485E-A13A-546660DC8441}" name="Field"/>
    <tableColumn id="2" xr3:uid="{E37A4CA5-CF96-49D7-A749-AFEE8C9B0998}" name="Value" dataDxfId="353"/>
  </tableColumns>
  <tableStyleInfo name="TableStyleMedium2" showFirstColumn="0" showLastColumn="0" showRowStripes="0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44A97E7-759D-4202-92AE-8FAF039238A5}" name="experiment0131923" displayName="experiment0131923" ref="A2:B68" totalsRowShown="0" headerRowDxfId="350">
  <autoFilter ref="A2:B68" xr:uid="{F6B9CD80-47EB-4D7B-AB7D-F37BAA158142}"/>
  <tableColumns count="2">
    <tableColumn id="1" xr3:uid="{5C6BD2CA-FBDA-4EB8-A7C0-F1B191C06785}" name="Field"/>
    <tableColumn id="2" xr3:uid="{166E4DBF-2E60-4E63-BCAD-142EA0EFFF2F}" name="Value" dataDxfId="349"/>
  </tableColumns>
  <tableStyleInfo name="TableStyleMedium2" showFirstColumn="0" showLastColumn="0" showRowStripes="0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76B5C15B-B60B-4CFA-AECD-3C7E3F30B8FB}" name="experiment013192324" displayName="experiment013192324" ref="A2:B68" totalsRowShown="0" headerRowDxfId="348">
  <autoFilter ref="A2:B68" xr:uid="{F6B9CD80-47EB-4D7B-AB7D-F37BAA158142}"/>
  <tableColumns count="2">
    <tableColumn id="1" xr3:uid="{481D6E24-F881-4F35-973A-B509A9FABDD2}" name="Field"/>
    <tableColumn id="2" xr3:uid="{73A087A0-D31D-4A8A-986A-71C014CB07B4}" name="Value" dataDxfId="347"/>
  </tableColumns>
  <tableStyleInfo name="TableStyleMedium2" showFirstColumn="0" showLastColumn="0" showRowStripes="0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B2AAC00-91A4-40A4-A902-676AEE6893EA}" name="experiment01319232425" displayName="experiment01319232425" ref="A2:B68" totalsRowShown="0" headerRowDxfId="346">
  <autoFilter ref="A2:B68" xr:uid="{F6B9CD80-47EB-4D7B-AB7D-F37BAA158142}"/>
  <tableColumns count="2">
    <tableColumn id="1" xr3:uid="{DBE732EE-3746-4966-B371-94643ED00F53}" name="Field"/>
    <tableColumn id="2" xr3:uid="{1E40CC58-9799-4A91-BFDF-B889C08BA208}" name="Value" dataDxfId="345"/>
  </tableColumns>
  <tableStyleInfo name="TableStyleMedium2" showFirstColumn="0" showLastColumn="0" showRowStripes="0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65EEA56-0652-4289-A89E-EB0A30F5A10F}" name="experiment0131923242526" displayName="experiment0131923242526" ref="A2:B68" totalsRowShown="0" headerRowDxfId="344">
  <autoFilter ref="A2:B68" xr:uid="{F6B9CD80-47EB-4D7B-AB7D-F37BAA158142}"/>
  <tableColumns count="2">
    <tableColumn id="1" xr3:uid="{C87A28CE-8BC8-4A67-A8A2-B316A5864878}" name="Field"/>
    <tableColumn id="2" xr3:uid="{D01CDC63-EC8D-4618-842E-81AFD81F71D1}" name="Value" dataDxfId="343"/>
  </tableColumns>
  <tableStyleInfo name="TableStyleMedium2" showFirstColumn="0" showLastColumn="0" showRowStripes="0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BF1010F-9C64-477F-8F72-8EB9525A64C3}" name="experiment013192327" displayName="experiment013192327" ref="A2:B69" totalsRowShown="0" headerRowDxfId="342">
  <autoFilter ref="A2:B69" xr:uid="{F6B9CD80-47EB-4D7B-AB7D-F37BAA158142}"/>
  <tableColumns count="2">
    <tableColumn id="1" xr3:uid="{4062EF94-0080-4605-9B5D-7B3D304DEB87}" name="Field"/>
    <tableColumn id="2" xr3:uid="{53CB9827-C50F-4741-B31F-A23018057409}" name="Value" dataDxfId="341"/>
  </tableColumns>
  <tableStyleInfo name="TableStyleMedium2" showFirstColumn="0" showLastColumn="0" showRowStripes="0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A3BBDC9-423E-40F7-A072-236D28D40C05}" name="experiment01319232728" displayName="experiment01319232728" ref="A2:B69" totalsRowShown="0" headerRowDxfId="3">
  <autoFilter ref="A2:B69" xr:uid="{F6B9CD80-47EB-4D7B-AB7D-F37BAA158142}"/>
  <tableColumns count="2">
    <tableColumn id="1" xr3:uid="{69CFB884-78C2-43AB-8553-085EB053C056}" name="Field"/>
    <tableColumn id="2" xr3:uid="{6F200FC3-4B96-4EC1-8071-07BC065FDB7E}" name="Value" dataDxfId="2"/>
  </tableColumns>
  <tableStyleInfo name="TableStyleMedium2" showFirstColumn="0" showLastColumn="0" showRowStripes="0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206DD61-73DC-4B88-A0EF-1557974D88F4}" name="vbumplim" displayName="vbumplim" ref="M2:O4" totalsRowShown="0">
  <autoFilter ref="M2:O4" xr:uid="{9206DD61-73DC-4B88-A0EF-1557974D88F4}"/>
  <tableColumns count="3">
    <tableColumn id="1" xr3:uid="{C26BBBB7-DE0E-4691-B142-7AA16942A98D}" name="vbumps"/>
    <tableColumn id="2" xr3:uid="{A3726A18-735B-4D07-989F-EDEC6ABA14A0}" name="Max"/>
    <tableColumn id="3" xr3:uid="{7C57A7F3-9122-4AF8-BE5D-24E7F08163BC}" name="Min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47A1DE-6792-4134-8DF7-9F13F7D924AA}" name="fixlim" displayName="fixlim" ref="M6:O8" totalsRowShown="0">
  <autoFilter ref="M6:O8" xr:uid="{7547A1DE-6792-4134-8DF7-9F13F7D924AA}"/>
  <tableColumns count="3">
    <tableColumn id="1" xr3:uid="{37FBC048-73D4-43A3-B213-7430DD0A4D4F}" name="FIXED"/>
    <tableColumn id="2" xr3:uid="{79EF6033-438D-4733-9BA9-EC729F5FA954}" name="Max"/>
    <tableColumn id="3" xr3:uid="{6217296B-EA49-4A24-8991-FD00F35CB1C5}" name="Min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BC19B2-759A-49A5-8731-A7A25464CF0D}" name="freqlim" displayName="freqlim" ref="P2:R4" totalsRowShown="0">
  <autoFilter ref="P2:R4" xr:uid="{52BC19B2-759A-49A5-8731-A7A25464CF0D}"/>
  <tableColumns count="3">
    <tableColumn id="1" xr3:uid="{EF6CE292-DAAE-4FC1-BF7E-ABE25DB80CCD}" name="Frequency"/>
    <tableColumn id="2" xr3:uid="{6157615E-14F8-40DE-BF9E-5B3A0ABB165F}" name="Max"/>
    <tableColumn id="3" xr3:uid="{264FA845-DB13-4FD7-B329-105F1EED8411}" name="Mi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488B0E5-E3A4-45FA-B04D-96A9548C5BFD}" name="limtxts" displayName="limtxts" ref="T2:U18" totalsRowShown="0">
  <autoFilter ref="T2:U18" xr:uid="{9488B0E5-E3A4-45FA-B04D-96A9548C5BFD}"/>
  <tableColumns count="2">
    <tableColumn id="1" xr3:uid="{BE544505-BB0A-4E1C-9E94-C41114937D46}" name="Case"/>
    <tableColumn id="2" xr3:uid="{C60F513E-2364-46EC-846A-36E41F4ED785}" name="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4" Type="http://schemas.openxmlformats.org/officeDocument/2006/relationships/table" Target="../tables/table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851DA-6820-4580-A4C8-7F1530CAC6AF}">
  <sheetPr>
    <tabColor theme="2" tint="-9.9978637043366805E-2"/>
  </sheetPr>
  <dimension ref="A1:E67"/>
  <sheetViews>
    <sheetView workbookViewId="0">
      <selection activeCell="C14" sqref="C14"/>
    </sheetView>
  </sheetViews>
  <sheetFormatPr defaultRowHeight="14.4" x14ac:dyDescent="0.3"/>
  <cols>
    <col min="1" max="1" width="21.6640625" bestFit="1" customWidth="1"/>
    <col min="2" max="2" width="67.66406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206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205</v>
      </c>
      <c r="C7" s="13" t="s">
        <v>91</v>
      </c>
    </row>
    <row r="8" spans="1:3" x14ac:dyDescent="0.3">
      <c r="A8" t="s">
        <v>25</v>
      </c>
      <c r="B8" s="2" t="s">
        <v>147</v>
      </c>
      <c r="C8" s="13" t="s">
        <v>92</v>
      </c>
    </row>
    <row r="9" spans="1:3" x14ac:dyDescent="0.3">
      <c r="A9" t="s">
        <v>1</v>
      </c>
      <c r="B9" s="2">
        <v>11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229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143</v>
      </c>
      <c r="C14" s="13" t="s">
        <v>139</v>
      </c>
    </row>
    <row r="15" spans="1:3" x14ac:dyDescent="0.3">
      <c r="A15" t="s">
        <v>142</v>
      </c>
      <c r="B15" s="2" t="s">
        <v>144</v>
      </c>
      <c r="C15" s="13" t="s">
        <v>140</v>
      </c>
    </row>
    <row r="16" spans="1:3" x14ac:dyDescent="0.3">
      <c r="A16" t="s">
        <v>5</v>
      </c>
      <c r="B16" s="2" t="s">
        <v>3</v>
      </c>
      <c r="C16" s="13" t="s">
        <v>138</v>
      </c>
    </row>
    <row r="17" spans="1:5" x14ac:dyDescent="0.3">
      <c r="A17" t="s">
        <v>6</v>
      </c>
      <c r="B17" s="2">
        <v>11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0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_xlfn.SWITCH(B29,"vbump",_xlfn.SWITCH(TRUE,experiment0[[#This Row],[Value]]="",MiscData!U15,experiment0[[#This Row],[Value]]&gt;MiscData!N3,MiscData!U4,experiment0[[#This Row],[Value]]&lt;MiscData!O3,MiscData!U5,MiscData!U3),"fixed",_xlfn.SWITCH(TRUE,experiment0[[#This Row],[Value]]="",MiscData!U15,experiment0[[#This Row],[Value]]&gt;MiscData!N7,MiscData!U4,experiment0[[#This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_xlfn.SWITCH(B29,"vbump",_xlfn.SWITCH(TRUE,experiment0[[#This Row],[Value]]="",MiscData!U15,experiment0[[#This Row],[Value]]&gt;MiscData!N4,MiscData!U4,experiment0[[#This Row],[Value]]&lt;MiscData!O4,MiscData!U5,MiscData!U3),"fixed",_xlfn.SWITCH(TRUE,experiment0[[#This Row],[Value]]="",MiscData!U15,experiment0[[#This Row],[Value]]&gt;MiscData!N8,MiscData!U4,experiment0[[#This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_xlfn.SWITCH(TRUE,experiment0[[#This Row],[Value]]="",MiscData!U15,experiment0[[#This Row],[Value]]&gt;MiscData!Q3,MiscData!U4,experiment0[[#This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_xlfn.SWITCH(TRUE,experiment0[[#This Row],[Value]]="",MiscData!U15,experiment0[[#This Row],[Value]]&gt;MiscData!Q4,MiscData!U4,experiment0[[#This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/>
      <c r="C46" s="37" t="s">
        <v>157</v>
      </c>
      <c r="D46" s="46"/>
    </row>
    <row r="47" spans="1:5" x14ac:dyDescent="0.3">
      <c r="A47" s="33" t="s">
        <v>151</v>
      </c>
      <c r="B47" s="34"/>
      <c r="C47" s="37" t="s">
        <v>158</v>
      </c>
      <c r="D47" s="46"/>
    </row>
    <row r="48" spans="1:5" x14ac:dyDescent="0.3">
      <c r="A48" s="33" t="s">
        <v>152</v>
      </c>
      <c r="B48" s="34"/>
      <c r="C48" s="37" t="s">
        <v>159</v>
      </c>
      <c r="D48" s="46"/>
    </row>
    <row r="49" spans="1:4" x14ac:dyDescent="0.3">
      <c r="A49" s="33" t="s">
        <v>153</v>
      </c>
      <c r="B49" s="34"/>
      <c r="C49" s="37" t="s">
        <v>194</v>
      </c>
      <c r="D49" s="46"/>
    </row>
    <row r="50" spans="1:4" ht="15" thickBot="1" x14ac:dyDescent="0.35">
      <c r="A50" s="33" t="s">
        <v>154</v>
      </c>
      <c r="B50" s="34"/>
      <c r="C50" s="37" t="s">
        <v>160</v>
      </c>
      <c r="D50" s="47"/>
    </row>
    <row r="51" spans="1:4" ht="14.4" customHeight="1" x14ac:dyDescent="0.3">
      <c r="A51" s="26" t="s">
        <v>161</v>
      </c>
      <c r="B51" s="27"/>
      <c r="C51" s="38" t="s">
        <v>176</v>
      </c>
      <c r="D51" s="48" t="s">
        <v>3</v>
      </c>
    </row>
    <row r="52" spans="1:4" x14ac:dyDescent="0.3">
      <c r="A52" s="28" t="s">
        <v>162</v>
      </c>
      <c r="B52" s="29"/>
      <c r="C52" s="39" t="s">
        <v>177</v>
      </c>
      <c r="D52" s="49"/>
    </row>
    <row r="53" spans="1:4" x14ac:dyDescent="0.3">
      <c r="A53" s="28" t="s">
        <v>163</v>
      </c>
      <c r="B53" s="29" t="s">
        <v>184</v>
      </c>
      <c r="C53" s="39" t="s">
        <v>178</v>
      </c>
      <c r="D53" s="49"/>
    </row>
    <row r="54" spans="1:4" x14ac:dyDescent="0.3">
      <c r="A54" s="28" t="s">
        <v>164</v>
      </c>
      <c r="B54" s="29" t="s">
        <v>183</v>
      </c>
      <c r="C54" s="39" t="s">
        <v>179</v>
      </c>
      <c r="D54" s="49"/>
    </row>
    <row r="55" spans="1:4" x14ac:dyDescent="0.3">
      <c r="A55" s="28" t="s">
        <v>165</v>
      </c>
      <c r="B55" s="29" t="s">
        <v>182</v>
      </c>
      <c r="C55" s="39" t="s">
        <v>180</v>
      </c>
      <c r="D55" s="49"/>
    </row>
    <row r="56" spans="1:4" x14ac:dyDescent="0.3">
      <c r="A56" s="28" t="s">
        <v>166</v>
      </c>
      <c r="B56" s="29" t="s">
        <v>130</v>
      </c>
      <c r="C56" s="39" t="s">
        <v>181</v>
      </c>
      <c r="D56" s="49"/>
    </row>
    <row r="57" spans="1:4" x14ac:dyDescent="0.3">
      <c r="A57" s="28" t="s">
        <v>167</v>
      </c>
      <c r="B57" s="29" t="s">
        <v>185</v>
      </c>
      <c r="C57" s="39" t="s">
        <v>200</v>
      </c>
      <c r="D57" s="49"/>
    </row>
    <row r="58" spans="1:4" x14ac:dyDescent="0.3">
      <c r="A58" s="28" t="s">
        <v>168</v>
      </c>
      <c r="B58" s="29">
        <v>80064000</v>
      </c>
      <c r="C58" s="39" t="s">
        <v>201</v>
      </c>
      <c r="D58" s="49"/>
    </row>
    <row r="59" spans="1:4" x14ac:dyDescent="0.3">
      <c r="A59" s="28" t="s">
        <v>169</v>
      </c>
      <c r="B59" s="29" t="s">
        <v>186</v>
      </c>
      <c r="C59" s="39" t="s">
        <v>202</v>
      </c>
      <c r="D59" s="49"/>
    </row>
    <row r="60" spans="1:4" x14ac:dyDescent="0.3">
      <c r="A60" s="28" t="s">
        <v>170</v>
      </c>
      <c r="B60" s="29" t="s">
        <v>204</v>
      </c>
      <c r="C60" s="39" t="s">
        <v>203</v>
      </c>
      <c r="D60" s="49"/>
    </row>
    <row r="61" spans="1:4" x14ac:dyDescent="0.3">
      <c r="A61" s="28" t="s">
        <v>171</v>
      </c>
      <c r="B61" s="29"/>
      <c r="C61" s="39" t="s">
        <v>192</v>
      </c>
      <c r="D61" s="49"/>
    </row>
    <row r="62" spans="1:4" x14ac:dyDescent="0.3">
      <c r="A62" s="28" t="s">
        <v>187</v>
      </c>
      <c r="B62" s="29" t="s">
        <v>230</v>
      </c>
      <c r="C62" s="39" t="s">
        <v>193</v>
      </c>
      <c r="D62" s="49"/>
    </row>
    <row r="63" spans="1:4" x14ac:dyDescent="0.3">
      <c r="A63" s="28" t="s">
        <v>172</v>
      </c>
      <c r="B63" s="29"/>
      <c r="C63" s="39" t="s">
        <v>195</v>
      </c>
      <c r="D63" s="49"/>
    </row>
    <row r="64" spans="1:4" x14ac:dyDescent="0.3">
      <c r="A64" s="28" t="s">
        <v>175</v>
      </c>
      <c r="B64" s="29" t="b">
        <v>1</v>
      </c>
      <c r="C64" s="39" t="s">
        <v>196</v>
      </c>
      <c r="D64" s="49"/>
    </row>
    <row r="65" spans="1:4" x14ac:dyDescent="0.3">
      <c r="A65" s="28" t="s">
        <v>189</v>
      </c>
      <c r="B65" s="29" t="s">
        <v>188</v>
      </c>
      <c r="C65" s="39" t="s">
        <v>197</v>
      </c>
      <c r="D65" s="49"/>
    </row>
    <row r="66" spans="1:4" x14ac:dyDescent="0.3">
      <c r="A66" s="28" t="s">
        <v>174</v>
      </c>
      <c r="B66" s="29" t="s">
        <v>190</v>
      </c>
      <c r="C66" s="39" t="s">
        <v>199</v>
      </c>
      <c r="D66" s="49"/>
    </row>
    <row r="67" spans="1:4" ht="15" thickBot="1" x14ac:dyDescent="0.35">
      <c r="A67" s="30" t="s">
        <v>173</v>
      </c>
      <c r="B67" s="31" t="s">
        <v>191</v>
      </c>
      <c r="C67" s="40" t="s">
        <v>198</v>
      </c>
      <c r="D67" s="50"/>
    </row>
  </sheetData>
  <mergeCells count="5">
    <mergeCell ref="A1:B1"/>
    <mergeCell ref="C1:C2"/>
    <mergeCell ref="D28:E28"/>
    <mergeCell ref="D42:D50"/>
    <mergeCell ref="D51:D67"/>
  </mergeCells>
  <phoneticPr fontId="3" type="noConversion"/>
  <conditionalFormatting sqref="A11:A13 C11:C13">
    <cfRule type="expression" dxfId="340" priority="3">
      <formula>$B$3="Disabled"</formula>
    </cfRule>
  </conditionalFormatting>
  <conditionalFormatting sqref="A4:C6 A7 C7 A8:C9 A10 C10">
    <cfRule type="expression" dxfId="339" priority="15">
      <formula>$B$3="Disabled"</formula>
    </cfRule>
  </conditionalFormatting>
  <conditionalFormatting sqref="A14:C67">
    <cfRule type="expression" dxfId="338" priority="4">
      <formula>$B$3="Disabled"</formula>
    </cfRule>
  </conditionalFormatting>
  <conditionalFormatting sqref="A24:C24">
    <cfRule type="expression" dxfId="336" priority="20">
      <formula>$B$5="Slice"</formula>
    </cfRule>
  </conditionalFormatting>
  <conditionalFormatting sqref="A42:C50">
    <cfRule type="expression" dxfId="332" priority="5">
      <formula>$B$16&lt;&gt;"Linux"</formula>
    </cfRule>
  </conditionalFormatting>
  <conditionalFormatting sqref="A51:C67">
    <cfRule type="expression" dxfId="331" priority="10">
      <formula>$B$16&lt;&gt;"Dragon"</formula>
    </cfRule>
  </conditionalFormatting>
  <conditionalFormatting sqref="B11:B13">
    <cfRule type="expression" dxfId="330" priority="2">
      <formula>$B$3="Disabled"</formula>
    </cfRule>
  </conditionalFormatting>
  <conditionalFormatting sqref="C42:C60">
    <cfRule type="expression" dxfId="329" priority="6">
      <formula>$B$3="Disabled"</formula>
    </cfRule>
  </conditionalFormatting>
  <conditionalFormatting sqref="B10">
    <cfRule type="expression" dxfId="328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9" id="{3558C56F-9A0E-40E0-913E-5898025FD4E9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21" id="{00000000-000E-0000-0000-000005000000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7" id="{070DEEB9-B4EC-4627-9D89-F0290435ED63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23" id="{6A1D639A-AF62-4BD9-9179-9A28EA3E7761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 xr:uid="{57005088-4734-4806-B613-8EA5F27FC2F0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24BC954E-5DE3-4DFD-B705-614513F0ADC5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2DB7AB9D-A49F-4976-8502-B8D563A28D2D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DFA26881-6F91-473A-AFC8-DF2760A6A810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FDAA2B6A-FCEF-475A-8929-AD23DAA90D8A}">
          <x14:formula1>
            <xm:f>MiscData!$B$3:$B$4</xm:f>
          </x14:formula1>
          <xm:sqref>B19:B24</xm:sqref>
        </x14:dataValidation>
        <x14:dataValidation type="list" allowBlank="1" showInputMessage="1" showErrorMessage="1" xr:uid="{D6D377A7-048B-448A-AAA7-701D76B64CAE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1AD69C62-AD1C-4FBD-ABB2-8C8671E15C61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5EA8CA2C-827A-4783-88F7-5D6779B310BB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44BE53CC-BCDE-4006-8744-C7FD022D2A85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E7D991BF-74B7-44BB-A06F-C65D5A5493A2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C3BE9BBD-8921-47AD-8060-E419CC10E403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4982-F622-46F0-9862-C5AD43812043}">
  <sheetPr>
    <tabColor theme="2" tint="-9.9978637043366805E-2"/>
  </sheetPr>
  <dimension ref="A1:E67"/>
  <sheetViews>
    <sheetView workbookViewId="0">
      <selection activeCell="C14" sqref="C14"/>
    </sheetView>
  </sheetViews>
  <sheetFormatPr defaultRowHeight="14.4" x14ac:dyDescent="0.3"/>
  <cols>
    <col min="1" max="1" width="21.6640625" bestFit="1" customWidth="1"/>
    <col min="2" max="2" width="67.66406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_xlfn.SWITCH(experiment016[[#This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244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205</v>
      </c>
      <c r="C7" s="13" t="s">
        <v>91</v>
      </c>
    </row>
    <row r="8" spans="1:3" x14ac:dyDescent="0.3">
      <c r="A8" t="s">
        <v>25</v>
      </c>
      <c r="B8" s="2" t="s">
        <v>147</v>
      </c>
      <c r="C8" s="13" t="s">
        <v>92</v>
      </c>
    </row>
    <row r="9" spans="1:3" x14ac:dyDescent="0.3">
      <c r="A9" t="s">
        <v>1</v>
      </c>
      <c r="B9" s="2">
        <v>11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229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143</v>
      </c>
      <c r="C14" s="13" t="s">
        <v>139</v>
      </c>
    </row>
    <row r="15" spans="1:3" x14ac:dyDescent="0.3">
      <c r="A15" t="s">
        <v>142</v>
      </c>
      <c r="B15" s="2" t="s">
        <v>144</v>
      </c>
      <c r="C15" s="13" t="s">
        <v>140</v>
      </c>
    </row>
    <row r="16" spans="1:3" x14ac:dyDescent="0.3">
      <c r="A16" t="s">
        <v>5</v>
      </c>
      <c r="B16" s="2" t="s">
        <v>3</v>
      </c>
      <c r="C16" s="13" t="s">
        <v>138</v>
      </c>
    </row>
    <row r="17" spans="1:5" x14ac:dyDescent="0.3">
      <c r="A17" t="s">
        <v>6</v>
      </c>
      <c r="B17" s="2">
        <v>11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0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207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_xlfn.SWITCH(B29,"vbump",_xlfn.SWITCH(TRUE,experiment016[[#This Row],[Value]]="",MiscData!U15,experiment016[[#This Row],[Value]]&gt;MiscData!N3,MiscData!U4,experiment016[[#This Row],[Value]]&lt;MiscData!O3,MiscData!U5,MiscData!U3),"fixed",_xlfn.SWITCH(TRUE,experiment016[[#This Row],[Value]]="",MiscData!U15,experiment016[[#This Row],[Value]]&gt;MiscData!N7,MiscData!U4,experiment016[[#This Row],[Value]]&lt;MiscData!O7,MiscData!U5,MiscData!U3),"")</f>
        <v/>
      </c>
      <c r="D30" s="23" t="str" cm="1">
        <f t="array" ref="D30">_xlfn.SWITCH(B$29,"vbump",MiscData!N3,"fixed",MiscData!N7,"")</f>
        <v/>
      </c>
      <c r="E30" s="17" t="str" cm="1">
        <f t="array" ref="E30">_xlfn.SWITCH(B$29,"vbump",MiscData!O3,"fixed",MiscData!O7,"")</f>
        <v/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_xlfn.SWITCH(B29,"vbump",_xlfn.SWITCH(TRUE,experiment016[[#This Row],[Value]]="",MiscData!U15,experiment016[[#This Row],[Value]]&gt;MiscData!N4,MiscData!U4,experiment016[[#This Row],[Value]]&lt;MiscData!O4,MiscData!U5,MiscData!U3),"fixed",_xlfn.SWITCH(TRUE,experiment016[[#This Row],[Value]]="",MiscData!U15,experiment016[[#This Row],[Value]]&gt;MiscData!N8,MiscData!U4,experiment016[[#This Row],[Value]]&lt;MiscData!O8,MiscData!U5,MiscData!U3),"")</f>
        <v/>
      </c>
      <c r="D31" s="23" t="str" cm="1">
        <f t="array" ref="D31">_xlfn.SWITCH(B$29,"vbump",MiscData!N4,"fixed",MiscData!N8,"")</f>
        <v/>
      </c>
      <c r="E31" s="17" t="str" cm="1">
        <f t="array" ref="E31">_xlfn.SWITCH(B$29,"vbump",MiscData!O4,"fixed",MiscData!O8,"")</f>
        <v/>
      </c>
    </row>
    <row r="32" spans="1:5" x14ac:dyDescent="0.3">
      <c r="A32" s="5" t="s">
        <v>22</v>
      </c>
      <c r="B32" s="2"/>
      <c r="C32" s="13" t="str" cm="1">
        <f t="array" ref="C32">_xlfn.SWITCH(TRUE,experiment016[[#This Row],[Value]]="",MiscData!U15,experiment016[[#This Row],[Value]]&gt;MiscData!Q3,MiscData!U4,experiment016[[#This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_xlfn.SWITCH(TRUE,experiment016[[#This Row],[Value]]="",MiscData!U15,experiment016[[#This Row],[Value]]&gt;MiscData!Q4,MiscData!U4,experiment016[[#This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/>
      <c r="C46" s="37" t="s">
        <v>157</v>
      </c>
      <c r="D46" s="46"/>
    </row>
    <row r="47" spans="1:5" x14ac:dyDescent="0.3">
      <c r="A47" s="33" t="s">
        <v>151</v>
      </c>
      <c r="B47" s="34"/>
      <c r="C47" s="37" t="s">
        <v>158</v>
      </c>
      <c r="D47" s="46"/>
    </row>
    <row r="48" spans="1:5" x14ac:dyDescent="0.3">
      <c r="A48" s="33" t="s">
        <v>152</v>
      </c>
      <c r="B48" s="34"/>
      <c r="C48" s="37" t="s">
        <v>159</v>
      </c>
      <c r="D48" s="46"/>
    </row>
    <row r="49" spans="1:4" x14ac:dyDescent="0.3">
      <c r="A49" s="33" t="s">
        <v>153</v>
      </c>
      <c r="B49" s="34"/>
      <c r="C49" s="37" t="s">
        <v>194</v>
      </c>
      <c r="D49" s="46"/>
    </row>
    <row r="50" spans="1:4" ht="15" thickBot="1" x14ac:dyDescent="0.35">
      <c r="A50" s="33" t="s">
        <v>154</v>
      </c>
      <c r="B50" s="34"/>
      <c r="C50" s="37" t="s">
        <v>160</v>
      </c>
      <c r="D50" s="47"/>
    </row>
    <row r="51" spans="1:4" ht="14.4" customHeight="1" x14ac:dyDescent="0.3">
      <c r="A51" s="26" t="s">
        <v>161</v>
      </c>
      <c r="B51" s="27"/>
      <c r="C51" s="38" t="s">
        <v>176</v>
      </c>
      <c r="D51" s="48" t="s">
        <v>3</v>
      </c>
    </row>
    <row r="52" spans="1:4" x14ac:dyDescent="0.3">
      <c r="A52" s="28" t="s">
        <v>162</v>
      </c>
      <c r="B52" s="29"/>
      <c r="C52" s="39" t="s">
        <v>177</v>
      </c>
      <c r="D52" s="49"/>
    </row>
    <row r="53" spans="1:4" x14ac:dyDescent="0.3">
      <c r="A53" s="28" t="s">
        <v>163</v>
      </c>
      <c r="B53" s="29" t="s">
        <v>184</v>
      </c>
      <c r="C53" s="39" t="s">
        <v>178</v>
      </c>
      <c r="D53" s="49"/>
    </row>
    <row r="54" spans="1:4" x14ac:dyDescent="0.3">
      <c r="A54" s="28" t="s">
        <v>164</v>
      </c>
      <c r="B54" s="29" t="s">
        <v>183</v>
      </c>
      <c r="C54" s="39" t="s">
        <v>179</v>
      </c>
      <c r="D54" s="49"/>
    </row>
    <row r="55" spans="1:4" x14ac:dyDescent="0.3">
      <c r="A55" s="28" t="s">
        <v>165</v>
      </c>
      <c r="B55" s="29" t="s">
        <v>182</v>
      </c>
      <c r="C55" s="39" t="s">
        <v>180</v>
      </c>
      <c r="D55" s="49"/>
    </row>
    <row r="56" spans="1:4" x14ac:dyDescent="0.3">
      <c r="A56" s="28" t="s">
        <v>166</v>
      </c>
      <c r="B56" s="29" t="s">
        <v>130</v>
      </c>
      <c r="C56" s="39" t="s">
        <v>181</v>
      </c>
      <c r="D56" s="49"/>
    </row>
    <row r="57" spans="1:4" x14ac:dyDescent="0.3">
      <c r="A57" s="28" t="s">
        <v>167</v>
      </c>
      <c r="B57" s="29" t="s">
        <v>185</v>
      </c>
      <c r="C57" s="39" t="s">
        <v>200</v>
      </c>
      <c r="D57" s="49"/>
    </row>
    <row r="58" spans="1:4" x14ac:dyDescent="0.3">
      <c r="A58" s="28" t="s">
        <v>168</v>
      </c>
      <c r="B58" s="29">
        <v>80064000</v>
      </c>
      <c r="C58" s="39" t="s">
        <v>201</v>
      </c>
      <c r="D58" s="49"/>
    </row>
    <row r="59" spans="1:4" x14ac:dyDescent="0.3">
      <c r="A59" s="28" t="s">
        <v>169</v>
      </c>
      <c r="B59" s="29" t="s">
        <v>186</v>
      </c>
      <c r="C59" s="39" t="s">
        <v>202</v>
      </c>
      <c r="D59" s="49"/>
    </row>
    <row r="60" spans="1:4" x14ac:dyDescent="0.3">
      <c r="A60" s="28" t="s">
        <v>170</v>
      </c>
      <c r="B60" s="29" t="s">
        <v>204</v>
      </c>
      <c r="C60" s="39" t="s">
        <v>203</v>
      </c>
      <c r="D60" s="49"/>
    </row>
    <row r="61" spans="1:4" x14ac:dyDescent="0.3">
      <c r="A61" s="28" t="s">
        <v>171</v>
      </c>
      <c r="B61" s="29"/>
      <c r="C61" s="39" t="s">
        <v>192</v>
      </c>
      <c r="D61" s="49"/>
    </row>
    <row r="62" spans="1:4" x14ac:dyDescent="0.3">
      <c r="A62" s="28" t="s">
        <v>187</v>
      </c>
      <c r="B62" s="29" t="s">
        <v>230</v>
      </c>
      <c r="C62" s="39" t="s">
        <v>193</v>
      </c>
      <c r="D62" s="49"/>
    </row>
    <row r="63" spans="1:4" x14ac:dyDescent="0.3">
      <c r="A63" s="28" t="s">
        <v>172</v>
      </c>
      <c r="B63" s="29"/>
      <c r="C63" s="39" t="s">
        <v>195</v>
      </c>
      <c r="D63" s="49"/>
    </row>
    <row r="64" spans="1:4" x14ac:dyDescent="0.3">
      <c r="A64" s="28" t="s">
        <v>175</v>
      </c>
      <c r="B64" s="29" t="b">
        <v>1</v>
      </c>
      <c r="C64" s="39" t="s">
        <v>196</v>
      </c>
      <c r="D64" s="49"/>
    </row>
    <row r="65" spans="1:4" x14ac:dyDescent="0.3">
      <c r="A65" s="28" t="s">
        <v>189</v>
      </c>
      <c r="B65" s="29" t="s">
        <v>188</v>
      </c>
      <c r="C65" s="39" t="s">
        <v>197</v>
      </c>
      <c r="D65" s="49"/>
    </row>
    <row r="66" spans="1:4" x14ac:dyDescent="0.3">
      <c r="A66" s="28" t="s">
        <v>174</v>
      </c>
      <c r="B66" s="29" t="s">
        <v>190</v>
      </c>
      <c r="C66" s="39" t="s">
        <v>199</v>
      </c>
      <c r="D66" s="49"/>
    </row>
    <row r="67" spans="1:4" ht="15" thickBot="1" x14ac:dyDescent="0.35">
      <c r="A67" s="30" t="s">
        <v>173</v>
      </c>
      <c r="B67" s="31" t="s">
        <v>191</v>
      </c>
      <c r="C67" s="40" t="s">
        <v>198</v>
      </c>
      <c r="D67" s="50"/>
    </row>
  </sheetData>
  <mergeCells count="5">
    <mergeCell ref="A1:B1"/>
    <mergeCell ref="C1:C2"/>
    <mergeCell ref="D28:E28"/>
    <mergeCell ref="D42:D50"/>
    <mergeCell ref="D51:D67"/>
  </mergeCells>
  <conditionalFormatting sqref="A11:A13 C11:C13">
    <cfRule type="expression" dxfId="327" priority="3">
      <formula>$B$3="Disabled"</formula>
    </cfRule>
  </conditionalFormatting>
  <conditionalFormatting sqref="A4:C6 A7 C7 A8:C9 A10 C10">
    <cfRule type="expression" dxfId="326" priority="8">
      <formula>$B$3="Disabled"</formula>
    </cfRule>
  </conditionalFormatting>
  <conditionalFormatting sqref="A14:C67">
    <cfRule type="expression" dxfId="325" priority="4">
      <formula>$B$3="Disabled"</formula>
    </cfRule>
  </conditionalFormatting>
  <conditionalFormatting sqref="A24:C24">
    <cfRule type="expression" dxfId="323" priority="11">
      <formula>$B$5="Slice"</formula>
    </cfRule>
  </conditionalFormatting>
  <conditionalFormatting sqref="A42:C50">
    <cfRule type="expression" dxfId="319" priority="5">
      <formula>$B$16&lt;&gt;"Linux"</formula>
    </cfRule>
  </conditionalFormatting>
  <conditionalFormatting sqref="A51:C67">
    <cfRule type="expression" dxfId="318" priority="7">
      <formula>$B$16&lt;&gt;"Dragon"</formula>
    </cfRule>
  </conditionalFormatting>
  <conditionalFormatting sqref="B11:B13">
    <cfRule type="expression" dxfId="317" priority="2">
      <formula>$B$3="Disabled"</formula>
    </cfRule>
  </conditionalFormatting>
  <conditionalFormatting sqref="C42:C60">
    <cfRule type="expression" dxfId="316" priority="6">
      <formula>$B$3="Disabled"</formula>
    </cfRule>
  </conditionalFormatting>
  <conditionalFormatting sqref="B10">
    <cfRule type="expression" dxfId="315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DD0B6272-011E-4090-B407-EDEDB0E78935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2" id="{1F413B2B-508E-4D6A-A7E6-7AABFB2DEF9E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9" id="{DA504F80-6025-4289-A1A8-0B4879738ED0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3" id="{55D80D53-0384-46F5-8C84-A1178A8546B2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A665DFCD-BA33-453D-8CB4-AD87CC032EB8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BC1B4649-0ECE-4DBA-9648-3459BEC927F8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DD557F3D-7027-46DD-9D95-1913678E601B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D6B20756-9038-4F67-A0EB-DFE8CF0F5D1C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D9EC1FF3-9D8F-4384-86D0-0CAA346CED38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1E864D77-6D1F-47A9-8198-5EE8F0A898E2}">
          <x14:formula1>
            <xm:f>MiscData!$B$3:$B$4</xm:f>
          </x14:formula1>
          <xm:sqref>B19:B24</xm:sqref>
        </x14:dataValidation>
        <x14:dataValidation type="list" allowBlank="1" showInputMessage="1" showErrorMessage="1" xr:uid="{A52DB9D1-1632-4FDE-A81B-6E2112D3FAE3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5603217D-8A07-4F9D-872C-1C7C0360017F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5F7152DD-08C1-4E54-8202-AFC7F6040BDC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D96619E4-0336-499E-996A-2E4645BF781B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38FBCBD6-62AB-4A42-9CC3-2A181A8960AF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8F08A-A6C3-49AF-8D78-5B14889AFBA8}">
  <sheetPr>
    <tabColor theme="2" tint="-9.9978637043366805E-2"/>
  </sheetPr>
  <dimension ref="A1:E67"/>
  <sheetViews>
    <sheetView workbookViewId="0">
      <selection activeCell="C14" sqref="C14"/>
    </sheetView>
  </sheetViews>
  <sheetFormatPr defaultRowHeight="14.4" x14ac:dyDescent="0.3"/>
  <cols>
    <col min="1" max="1" width="21.6640625" bestFit="1" customWidth="1"/>
    <col min="2" max="2" width="67.66406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_xlfn.SWITCH(experiment01617[[#This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243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205</v>
      </c>
      <c r="C7" s="13" t="s">
        <v>91</v>
      </c>
    </row>
    <row r="8" spans="1:3" x14ac:dyDescent="0.3">
      <c r="A8" t="s">
        <v>25</v>
      </c>
      <c r="B8" s="2" t="s">
        <v>147</v>
      </c>
      <c r="C8" s="13" t="s">
        <v>92</v>
      </c>
    </row>
    <row r="9" spans="1:3" x14ac:dyDescent="0.3">
      <c r="A9" t="s">
        <v>1</v>
      </c>
      <c r="B9" s="2">
        <v>11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229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143</v>
      </c>
      <c r="C14" s="13" t="s">
        <v>139</v>
      </c>
    </row>
    <row r="15" spans="1:3" x14ac:dyDescent="0.3">
      <c r="A15" t="s">
        <v>142</v>
      </c>
      <c r="B15" s="2" t="s">
        <v>144</v>
      </c>
      <c r="C15" s="13" t="s">
        <v>140</v>
      </c>
    </row>
    <row r="16" spans="1:3" x14ac:dyDescent="0.3">
      <c r="A16" t="s">
        <v>5</v>
      </c>
      <c r="B16" s="2" t="s">
        <v>3</v>
      </c>
      <c r="C16" s="13" t="s">
        <v>138</v>
      </c>
    </row>
    <row r="17" spans="1:5" x14ac:dyDescent="0.3">
      <c r="A17" t="s">
        <v>6</v>
      </c>
      <c r="B17" s="2">
        <v>11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0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207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_xlfn.SWITCH(B29,"vbump",_xlfn.SWITCH(TRUE,experiment01617[[#This Row],[Value]]="",MiscData!U15,experiment01617[[#This Row],[Value]]&gt;MiscData!N3,MiscData!U4,experiment01617[[#This Row],[Value]]&lt;MiscData!O3,MiscData!U5,MiscData!U3),"fixed",_xlfn.SWITCH(TRUE,experiment01617[[#This Row],[Value]]="",MiscData!U15,experiment01617[[#This Row],[Value]]&gt;MiscData!N7,MiscData!U4,experiment01617[[#This Row],[Value]]&lt;MiscData!O7,MiscData!U5,MiscData!U3),"")</f>
        <v/>
      </c>
      <c r="D30" s="23" t="str" cm="1">
        <f t="array" ref="D30">_xlfn.SWITCH(B$29,"vbump",MiscData!N3,"fixed",MiscData!N7,"")</f>
        <v/>
      </c>
      <c r="E30" s="17" t="str" cm="1">
        <f t="array" ref="E30">_xlfn.SWITCH(B$29,"vbump",MiscData!O3,"fixed",MiscData!O7,"")</f>
        <v/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_xlfn.SWITCH(B29,"vbump",_xlfn.SWITCH(TRUE,experiment01617[[#This Row],[Value]]="",MiscData!U15,experiment01617[[#This Row],[Value]]&gt;MiscData!N4,MiscData!U4,experiment01617[[#This Row],[Value]]&lt;MiscData!O4,MiscData!U5,MiscData!U3),"fixed",_xlfn.SWITCH(TRUE,experiment01617[[#This Row],[Value]]="",MiscData!U15,experiment01617[[#This Row],[Value]]&gt;MiscData!N8,MiscData!U4,experiment01617[[#This Row],[Value]]&lt;MiscData!O8,MiscData!U5,MiscData!U3),"")</f>
        <v/>
      </c>
      <c r="D31" s="23" t="str" cm="1">
        <f t="array" ref="D31">_xlfn.SWITCH(B$29,"vbump",MiscData!N4,"fixed",MiscData!N8,"")</f>
        <v/>
      </c>
      <c r="E31" s="17" t="str" cm="1">
        <f t="array" ref="E31">_xlfn.SWITCH(B$29,"vbump",MiscData!O4,"fixed",MiscData!O8,"")</f>
        <v/>
      </c>
    </row>
    <row r="32" spans="1:5" x14ac:dyDescent="0.3">
      <c r="A32" s="5" t="s">
        <v>22</v>
      </c>
      <c r="B32" s="2"/>
      <c r="C32" s="13" t="str" cm="1">
        <f t="array" ref="C32">_xlfn.SWITCH(TRUE,experiment01617[[#This Row],[Value]]="",MiscData!U15,experiment01617[[#This Row],[Value]]&gt;MiscData!Q3,MiscData!U4,experiment01617[[#This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_xlfn.SWITCH(TRUE,experiment01617[[#This Row],[Value]]="",MiscData!U15,experiment01617[[#This Row],[Value]]&gt;MiscData!Q4,MiscData!U4,experiment01617[[#This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/>
      <c r="C46" s="37" t="s">
        <v>157</v>
      </c>
      <c r="D46" s="46"/>
    </row>
    <row r="47" spans="1:5" x14ac:dyDescent="0.3">
      <c r="A47" s="33" t="s">
        <v>151</v>
      </c>
      <c r="B47" s="34"/>
      <c r="C47" s="37" t="s">
        <v>158</v>
      </c>
      <c r="D47" s="46"/>
    </row>
    <row r="48" spans="1:5" x14ac:dyDescent="0.3">
      <c r="A48" s="33" t="s">
        <v>152</v>
      </c>
      <c r="B48" s="34"/>
      <c r="C48" s="37" t="s">
        <v>159</v>
      </c>
      <c r="D48" s="46"/>
    </row>
    <row r="49" spans="1:4" x14ac:dyDescent="0.3">
      <c r="A49" s="33" t="s">
        <v>153</v>
      </c>
      <c r="B49" s="34"/>
      <c r="C49" s="37" t="s">
        <v>194</v>
      </c>
      <c r="D49" s="46"/>
    </row>
    <row r="50" spans="1:4" ht="15" thickBot="1" x14ac:dyDescent="0.35">
      <c r="A50" s="33" t="s">
        <v>154</v>
      </c>
      <c r="B50" s="34"/>
      <c r="C50" s="37" t="s">
        <v>160</v>
      </c>
      <c r="D50" s="47"/>
    </row>
    <row r="51" spans="1:4" ht="14.4" customHeight="1" x14ac:dyDescent="0.3">
      <c r="A51" s="26" t="s">
        <v>161</v>
      </c>
      <c r="B51" s="27"/>
      <c r="C51" s="38" t="s">
        <v>176</v>
      </c>
      <c r="D51" s="48" t="s">
        <v>3</v>
      </c>
    </row>
    <row r="52" spans="1:4" x14ac:dyDescent="0.3">
      <c r="A52" s="28" t="s">
        <v>162</v>
      </c>
      <c r="B52" s="29"/>
      <c r="C52" s="39" t="s">
        <v>177</v>
      </c>
      <c r="D52" s="49"/>
    </row>
    <row r="53" spans="1:4" x14ac:dyDescent="0.3">
      <c r="A53" s="28" t="s">
        <v>163</v>
      </c>
      <c r="B53" s="29" t="s">
        <v>184</v>
      </c>
      <c r="C53" s="39" t="s">
        <v>178</v>
      </c>
      <c r="D53" s="49"/>
    </row>
    <row r="54" spans="1:4" x14ac:dyDescent="0.3">
      <c r="A54" s="28" t="s">
        <v>164</v>
      </c>
      <c r="B54" s="29" t="s">
        <v>183</v>
      </c>
      <c r="C54" s="39" t="s">
        <v>179</v>
      </c>
      <c r="D54" s="49"/>
    </row>
    <row r="55" spans="1:4" x14ac:dyDescent="0.3">
      <c r="A55" s="28" t="s">
        <v>165</v>
      </c>
      <c r="B55" s="29" t="s">
        <v>182</v>
      </c>
      <c r="C55" s="39" t="s">
        <v>180</v>
      </c>
      <c r="D55" s="49"/>
    </row>
    <row r="56" spans="1:4" x14ac:dyDescent="0.3">
      <c r="A56" s="28" t="s">
        <v>166</v>
      </c>
      <c r="B56" s="29" t="s">
        <v>130</v>
      </c>
      <c r="C56" s="39" t="s">
        <v>181</v>
      </c>
      <c r="D56" s="49"/>
    </row>
    <row r="57" spans="1:4" x14ac:dyDescent="0.3">
      <c r="A57" s="28" t="s">
        <v>167</v>
      </c>
      <c r="B57" s="29" t="s">
        <v>242</v>
      </c>
      <c r="C57" s="39" t="s">
        <v>200</v>
      </c>
      <c r="D57" s="49"/>
    </row>
    <row r="58" spans="1:4" x14ac:dyDescent="0.3">
      <c r="A58" s="28" t="s">
        <v>168</v>
      </c>
      <c r="B58" s="29">
        <v>80064000</v>
      </c>
      <c r="C58" s="39" t="s">
        <v>201</v>
      </c>
      <c r="D58" s="49"/>
    </row>
    <row r="59" spans="1:4" x14ac:dyDescent="0.3">
      <c r="A59" s="28" t="s">
        <v>169</v>
      </c>
      <c r="B59" s="29" t="s">
        <v>186</v>
      </c>
      <c r="C59" s="39" t="s">
        <v>202</v>
      </c>
      <c r="D59" s="49"/>
    </row>
    <row r="60" spans="1:4" x14ac:dyDescent="0.3">
      <c r="A60" s="28" t="s">
        <v>170</v>
      </c>
      <c r="B60" s="29" t="s">
        <v>204</v>
      </c>
      <c r="C60" s="39" t="s">
        <v>203</v>
      </c>
      <c r="D60" s="49"/>
    </row>
    <row r="61" spans="1:4" x14ac:dyDescent="0.3">
      <c r="A61" s="28" t="s">
        <v>171</v>
      </c>
      <c r="B61" s="29"/>
      <c r="C61" s="39" t="s">
        <v>192</v>
      </c>
      <c r="D61" s="49"/>
    </row>
    <row r="62" spans="1:4" x14ac:dyDescent="0.3">
      <c r="A62" s="28" t="s">
        <v>187</v>
      </c>
      <c r="B62" s="29" t="s">
        <v>230</v>
      </c>
      <c r="C62" s="39" t="s">
        <v>193</v>
      </c>
      <c r="D62" s="49"/>
    </row>
    <row r="63" spans="1:4" x14ac:dyDescent="0.3">
      <c r="A63" s="28" t="s">
        <v>172</v>
      </c>
      <c r="B63" s="29"/>
      <c r="C63" s="39" t="s">
        <v>195</v>
      </c>
      <c r="D63" s="49"/>
    </row>
    <row r="64" spans="1:4" x14ac:dyDescent="0.3">
      <c r="A64" s="28" t="s">
        <v>175</v>
      </c>
      <c r="B64" s="29" t="b">
        <v>1</v>
      </c>
      <c r="C64" s="39" t="s">
        <v>196</v>
      </c>
      <c r="D64" s="49"/>
    </row>
    <row r="65" spans="1:4" x14ac:dyDescent="0.3">
      <c r="A65" s="28" t="s">
        <v>189</v>
      </c>
      <c r="B65" s="29" t="s">
        <v>188</v>
      </c>
      <c r="C65" s="39" t="s">
        <v>197</v>
      </c>
      <c r="D65" s="49"/>
    </row>
    <row r="66" spans="1:4" x14ac:dyDescent="0.3">
      <c r="A66" s="28" t="s">
        <v>174</v>
      </c>
      <c r="B66" s="29" t="s">
        <v>190</v>
      </c>
      <c r="C66" s="39" t="s">
        <v>199</v>
      </c>
      <c r="D66" s="49"/>
    </row>
    <row r="67" spans="1:4" ht="15" thickBot="1" x14ac:dyDescent="0.35">
      <c r="A67" s="30" t="s">
        <v>173</v>
      </c>
      <c r="B67" s="31" t="s">
        <v>191</v>
      </c>
      <c r="C67" s="40" t="s">
        <v>198</v>
      </c>
      <c r="D67" s="50"/>
    </row>
  </sheetData>
  <mergeCells count="5">
    <mergeCell ref="A1:B1"/>
    <mergeCell ref="C1:C2"/>
    <mergeCell ref="D28:E28"/>
    <mergeCell ref="D42:D50"/>
    <mergeCell ref="D51:D67"/>
  </mergeCells>
  <conditionalFormatting sqref="A11:A13 C11:C13">
    <cfRule type="expression" dxfId="314" priority="3">
      <formula>$B$3="Disabled"</formula>
    </cfRule>
  </conditionalFormatting>
  <conditionalFormatting sqref="A4:C6 A7 C7 A8:C9 A10 C10">
    <cfRule type="expression" dxfId="313" priority="8">
      <formula>$B$3="Disabled"</formula>
    </cfRule>
  </conditionalFormatting>
  <conditionalFormatting sqref="A14:C67">
    <cfRule type="expression" dxfId="312" priority="4">
      <formula>$B$3="Disabled"</formula>
    </cfRule>
  </conditionalFormatting>
  <conditionalFormatting sqref="A24:C24">
    <cfRule type="expression" dxfId="310" priority="11">
      <formula>$B$5="Slice"</formula>
    </cfRule>
  </conditionalFormatting>
  <conditionalFormatting sqref="A42:C50">
    <cfRule type="expression" dxfId="306" priority="5">
      <formula>$B$16&lt;&gt;"Linux"</formula>
    </cfRule>
  </conditionalFormatting>
  <conditionalFormatting sqref="A51:C67">
    <cfRule type="expression" dxfId="305" priority="7">
      <formula>$B$16&lt;&gt;"Dragon"</formula>
    </cfRule>
  </conditionalFormatting>
  <conditionalFormatting sqref="B11:B13">
    <cfRule type="expression" dxfId="304" priority="2">
      <formula>$B$3="Disabled"</formula>
    </cfRule>
  </conditionalFormatting>
  <conditionalFormatting sqref="C42:C60">
    <cfRule type="expression" dxfId="303" priority="6">
      <formula>$B$3="Disabled"</formula>
    </cfRule>
  </conditionalFormatting>
  <conditionalFormatting sqref="B10">
    <cfRule type="expression" dxfId="302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3916EA8D-9991-4007-9DE5-7E748FAEFBCC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2" id="{CC16B9C1-0B70-4C15-AD80-B228E2F351B2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9" id="{3E98855B-5C36-4071-BF09-895C93B2C68A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3" id="{FB5ADAB8-BBBC-4B43-8972-5E2D5055AAE1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30436F37-4CE2-4E86-BBBC-3575BC241A1C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5F87E513-BB00-409D-BB9E-55A8052AD99C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2CD083EF-539C-4BFE-A02F-5D2284E260D7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36D69073-A5E4-4ED6-9DE4-C31C21BA6CD1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A1F8F44F-EC17-469C-92DF-E8990A0D84A0}">
          <x14:formula1>
            <xm:f>MiscData!$B$3:$B$4</xm:f>
          </x14:formula1>
          <xm:sqref>B19:B24</xm:sqref>
        </x14:dataValidation>
        <x14:dataValidation type="list" allowBlank="1" showInputMessage="1" showErrorMessage="1" xr:uid="{C1557E0D-A71C-4A77-A7A5-479276436159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CCDFBC95-67CC-419B-8E59-8B104A831B41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C25FA685-B4B9-4824-9E80-F3EC84A48660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07E71D54-2F64-423A-AA4A-80D173B7E86E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D2ED3F4D-042D-453C-B699-07EE3552A04A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A7A518E9-F68E-44F0-851D-C4E7B6547D83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CE4D9-C5B3-4156-81AB-55B1769A6F77}">
  <sheetPr>
    <tabColor theme="2" tint="-9.9978637043366805E-2"/>
  </sheetPr>
  <dimension ref="A1:E68"/>
  <sheetViews>
    <sheetView topLeftCell="A36" workbookViewId="0">
      <selection activeCell="C14" sqref="C14"/>
    </sheetView>
  </sheetViews>
  <sheetFormatPr defaultRowHeight="14.4" x14ac:dyDescent="0.3"/>
  <cols>
    <col min="1" max="1" width="21.6640625" bestFit="1" customWidth="1"/>
    <col min="2" max="2" width="67.66406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_xlfn.SWITCH(experiment01314[[#This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227</v>
      </c>
      <c r="C4" s="13" t="s">
        <v>103</v>
      </c>
    </row>
    <row r="5" spans="1:3" x14ac:dyDescent="0.3">
      <c r="A5" t="s">
        <v>7</v>
      </c>
      <c r="B5" s="2" t="s">
        <v>44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226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231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143</v>
      </c>
      <c r="C14" s="13" t="s">
        <v>139</v>
      </c>
    </row>
    <row r="15" spans="1:3" x14ac:dyDescent="0.3">
      <c r="A15" t="s">
        <v>142</v>
      </c>
      <c r="B15" s="2" t="s">
        <v>144</v>
      </c>
      <c r="C15" s="13" t="s">
        <v>140</v>
      </c>
    </row>
    <row r="16" spans="1:3" x14ac:dyDescent="0.3">
      <c r="A16" t="s">
        <v>5</v>
      </c>
      <c r="B16" s="2" t="s">
        <v>3</v>
      </c>
      <c r="C16" s="13" t="s">
        <v>138</v>
      </c>
    </row>
    <row r="17" spans="1:5" x14ac:dyDescent="0.3">
      <c r="A17" t="s">
        <v>6</v>
      </c>
      <c r="B17" s="2">
        <v>1</v>
      </c>
      <c r="C17" s="13" t="s">
        <v>88</v>
      </c>
    </row>
    <row r="18" spans="1:5" x14ac:dyDescent="0.3">
      <c r="A18" t="s">
        <v>12</v>
      </c>
      <c r="B18" s="2">
        <v>40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ht="15" thickBot="1" x14ac:dyDescent="0.35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Not used</v>
      </c>
    </row>
    <row r="25" spans="1:5" x14ac:dyDescent="0.3">
      <c r="A25" t="s">
        <v>13</v>
      </c>
      <c r="B25" s="4">
        <v>36</v>
      </c>
      <c r="C25" s="13" t="str">
        <f>_xlfn.XLOOKUP(B5,MiscData!K3:K5,MiscData!L3:L5)</f>
        <v>Use Physical Core Number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_xlfn.SWITCH(B29,"vbump",_xlfn.SWITCH(TRUE,experiment01314[[#This Row],[Value]]="",MiscData!U15,experiment01314[[#This Row],[Value]]&gt;MiscData!N3,MiscData!U4,experiment01314[[#This Row],[Value]]&lt;MiscData!O3,MiscData!U5,MiscData!U3),"fixed",_xlfn.SWITCH(TRUE,experiment01314[[#This Row],[Value]]="",MiscData!U15,experiment01314[[#This Row],[Value]]&gt;MiscData!N7,MiscData!U4,experiment01314[[#This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_xlfn.SWITCH(B29,"vbump",_xlfn.SWITCH(TRUE,experiment01314[[#This Row],[Value]]="",MiscData!U15,experiment01314[[#This Row],[Value]]&gt;MiscData!N4,MiscData!U4,experiment01314[[#This Row],[Value]]&lt;MiscData!O4,MiscData!U5,MiscData!U3),"fixed",_xlfn.SWITCH(TRUE,experiment01314[[#This Row],[Value]]="",MiscData!U15,experiment01314[[#This Row],[Value]]&gt;MiscData!N8,MiscData!U4,experiment01314[[#This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_xlfn.SWITCH(TRUE,experiment01314[[#This Row],[Value]]="",MiscData!U15,experiment01314[[#This Row],[Value]]&gt;MiscData!Q3,MiscData!U4,experiment01314[[#This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_xlfn.SWITCH(TRUE,experiment01314[[#This Row],[Value]]="",MiscData!U15,experiment01314[[#This Row],[Value]]&gt;MiscData!Q4,MiscData!U4,experiment01314[[#This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/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208</v>
      </c>
      <c r="C49" s="37" t="s">
        <v>194</v>
      </c>
      <c r="D49" s="46"/>
    </row>
    <row r="50" spans="1:4" x14ac:dyDescent="0.3">
      <c r="A50" s="33" t="s">
        <v>154</v>
      </c>
      <c r="B50" s="41" t="s">
        <v>209</v>
      </c>
      <c r="C50" s="37" t="s">
        <v>160</v>
      </c>
      <c r="D50" s="46"/>
    </row>
    <row r="51" spans="1:4" ht="15" thickBot="1" x14ac:dyDescent="0.35">
      <c r="A51" s="33" t="s">
        <v>214</v>
      </c>
      <c r="B51" s="41" t="s">
        <v>209</v>
      </c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123</v>
      </c>
      <c r="C56" s="39" t="s">
        <v>180</v>
      </c>
      <c r="D56" s="49"/>
    </row>
    <row r="57" spans="1:4" x14ac:dyDescent="0.3">
      <c r="A57" s="28" t="s">
        <v>166</v>
      </c>
      <c r="B57" s="29" t="s">
        <v>123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216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217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">
    <cfRule type="expression" dxfId="301" priority="4">
      <formula>$B$3="Disabled"</formula>
    </cfRule>
  </conditionalFormatting>
  <conditionalFormatting sqref="A47:A51 A52:C60 A61 A62:C68">
    <cfRule type="expression" dxfId="300" priority="16">
      <formula>$B$3="Disabled"</formula>
    </cfRule>
  </conditionalFormatting>
  <conditionalFormatting sqref="A47:A51 C47:C51">
    <cfRule type="expression" dxfId="299" priority="18">
      <formula>$B$16&lt;&gt;"Linux"</formula>
    </cfRule>
  </conditionalFormatting>
  <conditionalFormatting sqref="A4:C6 A7 C7 A8:C10">
    <cfRule type="expression" dxfId="298" priority="20">
      <formula>$B$3="Disabled"</formula>
    </cfRule>
  </conditionalFormatting>
  <conditionalFormatting sqref="A16:C24 A29:C46 A28 C28 A26:C27 A25 C25">
    <cfRule type="expression" dxfId="297" priority="7">
      <formula>$B$3="Disabled"</formula>
    </cfRule>
  </conditionalFormatting>
  <conditionalFormatting sqref="A24:C24">
    <cfRule type="expression" dxfId="295" priority="23">
      <formula>$B$5="Slice"</formula>
    </cfRule>
  </conditionalFormatting>
  <conditionalFormatting sqref="A42:C46">
    <cfRule type="expression" dxfId="291" priority="8">
      <formula>$B$16&lt;&gt;"Linux"</formula>
    </cfRule>
  </conditionalFormatting>
  <conditionalFormatting sqref="A52:C60 A61 C61 A62:C68">
    <cfRule type="expression" dxfId="290" priority="17">
      <formula>$B$16&lt;&gt;"Dragon"</formula>
    </cfRule>
  </conditionalFormatting>
  <conditionalFormatting sqref="B11:B15">
    <cfRule type="expression" dxfId="289" priority="3">
      <formula>$B$3="Disabled"</formula>
    </cfRule>
  </conditionalFormatting>
  <conditionalFormatting sqref="B47:B51">
    <cfRule type="expression" dxfId="288" priority="11">
      <formula>$B$3="Disabled"</formula>
    </cfRule>
    <cfRule type="expression" dxfId="287" priority="12">
      <formula>$B$16&lt;&gt;"Linux"</formula>
    </cfRule>
  </conditionalFormatting>
  <conditionalFormatting sqref="B61">
    <cfRule type="expression" dxfId="286" priority="5">
      <formula>$B$3="Disabled"</formula>
    </cfRule>
    <cfRule type="expression" dxfId="285" priority="6">
      <formula>$B$16&lt;&gt;"Dragon"</formula>
    </cfRule>
  </conditionalFormatting>
  <conditionalFormatting sqref="C42:C61">
    <cfRule type="expression" dxfId="284" priority="9">
      <formula>$B$3="Disabled"</formula>
    </cfRule>
  </conditionalFormatting>
  <conditionalFormatting sqref="B28">
    <cfRule type="expression" dxfId="283" priority="2">
      <formula>$B$3="Disabled"</formula>
    </cfRule>
  </conditionalFormatting>
  <conditionalFormatting sqref="B25">
    <cfRule type="expression" dxfId="282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2" id="{D46CAB96-5045-4A9A-BA3F-9C2B0EA11FC7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24" id="{2833D13E-2ED4-47A6-9323-866E75D26119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21" id="{212253E8-D8DD-4470-BD7F-00F917ABE1EB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25" id="{A1D2BD4B-5D75-4586-B665-543E9C2562B0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66C263C2-E8D2-4E22-B910-C010A5B4496E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95CA44BB-827B-4F65-8CBD-FBF9EAEB17FE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87868710-7D36-4843-A5E3-6D70D3893424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06987094-CE72-4F65-A086-67404F2874EA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A34F7C9F-E398-45AD-9EB5-F4B348596212}">
          <x14:formula1>
            <xm:f>MiscData!$B$3:$B$4</xm:f>
          </x14:formula1>
          <xm:sqref>B19:B24</xm:sqref>
        </x14:dataValidation>
        <x14:dataValidation type="list" allowBlank="1" showInputMessage="1" showErrorMessage="1" xr:uid="{B1E7E055-70F9-4F70-AB6A-8A6A12CC5F7C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58A81716-1AE3-4A1B-AEA9-CE3A074D478D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E1861D38-56C8-424C-AB48-85E12DAC5714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80F4BB6F-F39B-49F1-A54E-18361C05B6E5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20AFC9D2-7C15-49F4-B8CE-6875E9F1A533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EDE358A5-BAF1-496E-B0F1-7F683F975FF8}">
          <x14:formula1>
            <xm:f>_xlfn.SWITCH(B6,"Mesh",_xlfn._TRO_TRAILING(MiscData!AA3:AA21),"Slice",_xlfn.ANCHORARRAY(MiscData!AC3),"")</xm:f>
          </x14:formula1>
          <xm:sqref>B26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1EB21-D90E-4ACA-A905-E56524F0269E}">
  <sheetPr>
    <tabColor theme="6" tint="0.79998168889431442"/>
  </sheetPr>
  <dimension ref="A1:E67"/>
  <sheetViews>
    <sheetView workbookViewId="0">
      <selection activeCell="B5" sqref="B5"/>
    </sheetView>
  </sheetViews>
  <sheetFormatPr defaultRowHeight="14.4" x14ac:dyDescent="0.3"/>
  <cols>
    <col min="1" max="1" width="21.6640625" bestFit="1" customWidth="1"/>
    <col min="2" max="2" width="67.66406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_xlfn.SWITCH(experiment07[[#This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239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10</v>
      </c>
      <c r="C6" s="13" t="s">
        <v>89</v>
      </c>
    </row>
    <row r="7" spans="1:3" x14ac:dyDescent="0.3">
      <c r="A7" t="s">
        <v>24</v>
      </c>
      <c r="B7" t="s">
        <v>205</v>
      </c>
      <c r="C7" s="13" t="s">
        <v>91</v>
      </c>
    </row>
    <row r="8" spans="1:3" x14ac:dyDescent="0.3">
      <c r="A8" t="s">
        <v>25</v>
      </c>
      <c r="B8" s="2" t="s">
        <v>147</v>
      </c>
      <c r="C8" s="13" t="s">
        <v>92</v>
      </c>
    </row>
    <row r="9" spans="1:3" x14ac:dyDescent="0.3">
      <c r="A9" t="s">
        <v>1</v>
      </c>
      <c r="B9" s="2">
        <v>11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229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143</v>
      </c>
      <c r="C14" s="13" t="s">
        <v>139</v>
      </c>
    </row>
    <row r="15" spans="1:3" x14ac:dyDescent="0.3">
      <c r="A15" t="s">
        <v>142</v>
      </c>
      <c r="B15" s="2" t="s">
        <v>144</v>
      </c>
      <c r="C15" s="13" t="s">
        <v>140</v>
      </c>
    </row>
    <row r="16" spans="1:3" x14ac:dyDescent="0.3">
      <c r="A16" t="s">
        <v>5</v>
      </c>
      <c r="B16" s="2" t="s">
        <v>3</v>
      </c>
      <c r="C16" s="13" t="s">
        <v>138</v>
      </c>
    </row>
    <row r="17" spans="1:5" x14ac:dyDescent="0.3">
      <c r="A17" t="s">
        <v>6</v>
      </c>
      <c r="B17" s="2">
        <v>11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0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_xlfn.SWITCH(B29,"vbump",_xlfn.SWITCH(TRUE,experiment07[[#This Row],[Value]]="",MiscData!U15,experiment07[[#This Row],[Value]]&gt;MiscData!N3,MiscData!U4,experiment07[[#This Row],[Value]]&lt;MiscData!O3,MiscData!U5,MiscData!U3),"fixed",_xlfn.SWITCH(TRUE,experiment07[[#This Row],[Value]]="",MiscData!U15,experiment07[[#This Row],[Value]]&gt;MiscData!N7,MiscData!U4,experiment07[[#This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_xlfn.SWITCH(B29,"vbump",_xlfn.SWITCH(TRUE,experiment07[[#This Row],[Value]]="",MiscData!U15,experiment07[[#This Row],[Value]]&gt;MiscData!N4,MiscData!U4,experiment07[[#This Row],[Value]]&lt;MiscData!O4,MiscData!U5,MiscData!U3),"fixed",_xlfn.SWITCH(TRUE,experiment07[[#This Row],[Value]]="",MiscData!U15,experiment07[[#This Row],[Value]]&gt;MiscData!N8,MiscData!U4,experiment07[[#This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_xlfn.SWITCH(TRUE,experiment07[[#This Row],[Value]]="",MiscData!U15,experiment07[[#This Row],[Value]]&gt;MiscData!Q3,MiscData!U4,experiment07[[#This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_xlfn.SWITCH(TRUE,experiment07[[#This Row],[Value]]="",MiscData!U15,experiment07[[#This Row],[Value]]&gt;MiscData!Q4,MiscData!U4,experiment07[[#This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Not used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Select Type: Frequency or Voltage</v>
      </c>
    </row>
    <row r="36" spans="1:5" x14ac:dyDescent="0.3">
      <c r="A36" s="5" t="s">
        <v>34</v>
      </c>
      <c r="B36" s="2" t="s">
        <v>64</v>
      </c>
      <c r="C36" s="21" t="str" cm="1">
        <f t="array" ref="C36">_xlfn.SWITCH($B$6,"Sweep",MiscData!U8,MiscData!$U$14)</f>
        <v>Select domain: IA or CFC</v>
      </c>
    </row>
    <row r="37" spans="1:5" x14ac:dyDescent="0.3">
      <c r="A37" s="5" t="s">
        <v>36</v>
      </c>
      <c r="B37" s="2">
        <v>0.05</v>
      </c>
      <c r="C37" s="21" t="str" cm="1">
        <f t="array" ref="C37">_xlfn.SWITCH($B$6,"Sweep",MiscData!U9,MiscData!$U$14)</f>
        <v>Start point of Sweep. Consider above limits for CFC / IA</v>
      </c>
    </row>
    <row r="38" spans="1:5" x14ac:dyDescent="0.3">
      <c r="A38" s="5" t="s">
        <v>37</v>
      </c>
      <c r="B38" s="2">
        <v>0.2</v>
      </c>
      <c r="C38" s="21" t="str" cm="1">
        <f t="array" ref="C38">_xlfn.SWITCH($B$6,"Sweep",MiscData!U10,MiscData!$U$14)</f>
        <v>End point of Sweep. Consider above limits for CFC / IA</v>
      </c>
    </row>
    <row r="39" spans="1:5" x14ac:dyDescent="0.3">
      <c r="A39" s="5" t="s">
        <v>38</v>
      </c>
      <c r="B39" s="2">
        <v>0.05</v>
      </c>
      <c r="C39" s="21" t="str" cm="1">
        <f t="array" ref="C39">_xlfn.SWITCH($B$6,"Sweep",MiscData!U11,MiscData!$U$14)</f>
        <v>Size of each step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/>
      <c r="C46" s="37" t="s">
        <v>157</v>
      </c>
      <c r="D46" s="46"/>
    </row>
    <row r="47" spans="1:5" x14ac:dyDescent="0.3">
      <c r="A47" s="33" t="s">
        <v>151</v>
      </c>
      <c r="B47" s="34"/>
      <c r="C47" s="37" t="s">
        <v>158</v>
      </c>
      <c r="D47" s="46"/>
    </row>
    <row r="48" spans="1:5" x14ac:dyDescent="0.3">
      <c r="A48" s="33" t="s">
        <v>152</v>
      </c>
      <c r="B48" s="34"/>
      <c r="C48" s="37" t="s">
        <v>159</v>
      </c>
      <c r="D48" s="46"/>
    </row>
    <row r="49" spans="1:4" x14ac:dyDescent="0.3">
      <c r="A49" s="33" t="s">
        <v>153</v>
      </c>
      <c r="B49" s="34"/>
      <c r="C49" s="37" t="s">
        <v>194</v>
      </c>
      <c r="D49" s="46"/>
    </row>
    <row r="50" spans="1:4" ht="15" thickBot="1" x14ac:dyDescent="0.35">
      <c r="A50" s="33" t="s">
        <v>154</v>
      </c>
      <c r="B50" s="34"/>
      <c r="C50" s="37" t="s">
        <v>160</v>
      </c>
      <c r="D50" s="47"/>
    </row>
    <row r="51" spans="1:4" ht="14.4" customHeight="1" x14ac:dyDescent="0.3">
      <c r="A51" s="26" t="s">
        <v>161</v>
      </c>
      <c r="B51" s="27"/>
      <c r="C51" s="38" t="s">
        <v>176</v>
      </c>
      <c r="D51" s="48" t="s">
        <v>3</v>
      </c>
    </row>
    <row r="52" spans="1:4" x14ac:dyDescent="0.3">
      <c r="A52" s="28" t="s">
        <v>162</v>
      </c>
      <c r="B52" s="29"/>
      <c r="C52" s="39" t="s">
        <v>177</v>
      </c>
      <c r="D52" s="49"/>
    </row>
    <row r="53" spans="1:4" x14ac:dyDescent="0.3">
      <c r="A53" s="28" t="s">
        <v>163</v>
      </c>
      <c r="B53" s="29" t="s">
        <v>184</v>
      </c>
      <c r="C53" s="39" t="s">
        <v>178</v>
      </c>
      <c r="D53" s="49"/>
    </row>
    <row r="54" spans="1:4" x14ac:dyDescent="0.3">
      <c r="A54" s="28" t="s">
        <v>164</v>
      </c>
      <c r="B54" s="29" t="s">
        <v>183</v>
      </c>
      <c r="C54" s="39" t="s">
        <v>179</v>
      </c>
      <c r="D54" s="49"/>
    </row>
    <row r="55" spans="1:4" x14ac:dyDescent="0.3">
      <c r="A55" s="28" t="s">
        <v>165</v>
      </c>
      <c r="B55" s="29" t="s">
        <v>182</v>
      </c>
      <c r="C55" s="39" t="s">
        <v>180</v>
      </c>
      <c r="D55" s="49"/>
    </row>
    <row r="56" spans="1:4" x14ac:dyDescent="0.3">
      <c r="A56" s="28" t="s">
        <v>166</v>
      </c>
      <c r="B56" s="29" t="s">
        <v>130</v>
      </c>
      <c r="C56" s="39" t="s">
        <v>181</v>
      </c>
      <c r="D56" s="49"/>
    </row>
    <row r="57" spans="1:4" x14ac:dyDescent="0.3">
      <c r="A57" s="28" t="s">
        <v>167</v>
      </c>
      <c r="B57" s="29" t="s">
        <v>185</v>
      </c>
      <c r="C57" s="39" t="s">
        <v>200</v>
      </c>
      <c r="D57" s="49"/>
    </row>
    <row r="58" spans="1:4" x14ac:dyDescent="0.3">
      <c r="A58" s="28" t="s">
        <v>168</v>
      </c>
      <c r="B58" s="29">
        <v>80064000</v>
      </c>
      <c r="C58" s="39" t="s">
        <v>201</v>
      </c>
      <c r="D58" s="49"/>
    </row>
    <row r="59" spans="1:4" x14ac:dyDescent="0.3">
      <c r="A59" s="28" t="s">
        <v>169</v>
      </c>
      <c r="B59" s="29" t="s">
        <v>186</v>
      </c>
      <c r="C59" s="39" t="s">
        <v>202</v>
      </c>
      <c r="D59" s="49"/>
    </row>
    <row r="60" spans="1:4" x14ac:dyDescent="0.3">
      <c r="A60" s="28" t="s">
        <v>170</v>
      </c>
      <c r="B60" s="29" t="s">
        <v>204</v>
      </c>
      <c r="C60" s="39" t="s">
        <v>203</v>
      </c>
      <c r="D60" s="49"/>
    </row>
    <row r="61" spans="1:4" x14ac:dyDescent="0.3">
      <c r="A61" s="28" t="s">
        <v>171</v>
      </c>
      <c r="B61" s="29"/>
      <c r="C61" s="39" t="s">
        <v>192</v>
      </c>
      <c r="D61" s="49"/>
    </row>
    <row r="62" spans="1:4" x14ac:dyDescent="0.3">
      <c r="A62" s="28" t="s">
        <v>187</v>
      </c>
      <c r="B62" s="29" t="s">
        <v>230</v>
      </c>
      <c r="C62" s="39" t="s">
        <v>193</v>
      </c>
      <c r="D62" s="49"/>
    </row>
    <row r="63" spans="1:4" x14ac:dyDescent="0.3">
      <c r="A63" s="28" t="s">
        <v>172</v>
      </c>
      <c r="B63" s="29"/>
      <c r="C63" s="39" t="s">
        <v>195</v>
      </c>
      <c r="D63" s="49"/>
    </row>
    <row r="64" spans="1:4" x14ac:dyDescent="0.3">
      <c r="A64" s="28" t="s">
        <v>175</v>
      </c>
      <c r="B64" s="29" t="b">
        <v>1</v>
      </c>
      <c r="C64" s="39" t="s">
        <v>196</v>
      </c>
      <c r="D64" s="49"/>
    </row>
    <row r="65" spans="1:4" x14ac:dyDescent="0.3">
      <c r="A65" s="28" t="s">
        <v>189</v>
      </c>
      <c r="B65" s="29" t="s">
        <v>188</v>
      </c>
      <c r="C65" s="39" t="s">
        <v>197</v>
      </c>
      <c r="D65" s="49"/>
    </row>
    <row r="66" spans="1:4" x14ac:dyDescent="0.3">
      <c r="A66" s="28" t="s">
        <v>174</v>
      </c>
      <c r="B66" s="29" t="s">
        <v>190</v>
      </c>
      <c r="C66" s="39" t="s">
        <v>199</v>
      </c>
      <c r="D66" s="49"/>
    </row>
    <row r="67" spans="1:4" ht="15" thickBot="1" x14ac:dyDescent="0.35">
      <c r="A67" s="30" t="s">
        <v>173</v>
      </c>
      <c r="B67" s="31" t="s">
        <v>191</v>
      </c>
      <c r="C67" s="40" t="s">
        <v>198</v>
      </c>
      <c r="D67" s="50"/>
    </row>
  </sheetData>
  <mergeCells count="5">
    <mergeCell ref="A1:B1"/>
    <mergeCell ref="C1:C2"/>
    <mergeCell ref="D28:E28"/>
    <mergeCell ref="D42:D50"/>
    <mergeCell ref="D51:D67"/>
  </mergeCells>
  <conditionalFormatting sqref="A11:A13 C11:C13">
    <cfRule type="expression" dxfId="281" priority="3">
      <formula>$B$3="Disabled"</formula>
    </cfRule>
  </conditionalFormatting>
  <conditionalFormatting sqref="A4:C6 A7 C7 A8:C9 A10 C10">
    <cfRule type="expression" dxfId="280" priority="8">
      <formula>$B$3="Disabled"</formula>
    </cfRule>
  </conditionalFormatting>
  <conditionalFormatting sqref="A14:C67">
    <cfRule type="expression" dxfId="279" priority="4">
      <formula>$B$3="Disabled"</formula>
    </cfRule>
  </conditionalFormatting>
  <conditionalFormatting sqref="A24:C24">
    <cfRule type="expression" dxfId="277" priority="11">
      <formula>$B$5="Slice"</formula>
    </cfRule>
  </conditionalFormatting>
  <conditionalFormatting sqref="A42:C50">
    <cfRule type="expression" dxfId="273" priority="5">
      <formula>$B$16&lt;&gt;"Linux"</formula>
    </cfRule>
  </conditionalFormatting>
  <conditionalFormatting sqref="A51:C67">
    <cfRule type="expression" dxfId="272" priority="7">
      <formula>$B$16&lt;&gt;"Dragon"</formula>
    </cfRule>
  </conditionalFormatting>
  <conditionalFormatting sqref="B11:B13">
    <cfRule type="expression" dxfId="271" priority="2">
      <formula>$B$3="Disabled"</formula>
    </cfRule>
  </conditionalFormatting>
  <conditionalFormatting sqref="C42:C60">
    <cfRule type="expression" dxfId="270" priority="6">
      <formula>$B$3="Disabled"</formula>
    </cfRule>
  </conditionalFormatting>
  <conditionalFormatting sqref="B10">
    <cfRule type="expression" dxfId="269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E7FBE70F-06BD-4DA6-9892-33C44C674BDB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2" id="{E8C6DBD2-B15F-4D21-9F0A-EC18D23A07F2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9" id="{51F3C468-C6F6-439B-98DD-3142B63DEBEC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3" id="{82448287-B087-4CB9-896C-9179903FE425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5BDF33DF-8995-423A-80B3-F185BD6C5E99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90FA7057-5C8E-4962-AA03-1AE57CD1B748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89FBD5C9-7484-462D-ABB4-95371BAA9A20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EAB72365-B73E-498C-A4B9-487381EA299E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8D082953-056A-4142-89A5-02AE56F26FF1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75D34FD9-B13A-4A2F-8FB3-0F6A80841A95}">
          <x14:formula1>
            <xm:f>MiscData!$B$3:$B$4</xm:f>
          </x14:formula1>
          <xm:sqref>B19:B24</xm:sqref>
        </x14:dataValidation>
        <x14:dataValidation type="list" allowBlank="1" showInputMessage="1" showErrorMessage="1" xr:uid="{5480DABB-2813-453D-B9A4-A735484EA869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0081A680-89EA-42C5-91E1-075E8B07DC1F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065C58A5-A2D4-4D1B-BF5E-4692755464A5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28DB86BC-A091-460A-89BE-AD727338BA1C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D904B353-31B3-4B00-9CE9-CA50A2E4C978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28E48-E4E2-4CB3-BBDF-65D581143F92}">
  <sheetPr>
    <tabColor theme="6" tint="0.79998168889431442"/>
  </sheetPr>
  <dimension ref="A1:E67"/>
  <sheetViews>
    <sheetView topLeftCell="A13" workbookViewId="0">
      <selection activeCell="B5" sqref="B5"/>
    </sheetView>
  </sheetViews>
  <sheetFormatPr defaultRowHeight="14.4" x14ac:dyDescent="0.3"/>
  <cols>
    <col min="1" max="1" width="21.6640625" bestFit="1" customWidth="1"/>
    <col min="2" max="2" width="67.66406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_xlfn.SWITCH(experiment078[[#This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240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10</v>
      </c>
      <c r="C6" s="13" t="s">
        <v>89</v>
      </c>
    </row>
    <row r="7" spans="1:3" x14ac:dyDescent="0.3">
      <c r="A7" t="s">
        <v>24</v>
      </c>
      <c r="B7" t="s">
        <v>205</v>
      </c>
      <c r="C7" s="13" t="s">
        <v>91</v>
      </c>
    </row>
    <row r="8" spans="1:3" x14ac:dyDescent="0.3">
      <c r="A8" t="s">
        <v>25</v>
      </c>
      <c r="B8" s="2" t="s">
        <v>147</v>
      </c>
      <c r="C8" s="13" t="s">
        <v>92</v>
      </c>
    </row>
    <row r="9" spans="1:3" x14ac:dyDescent="0.3">
      <c r="A9" t="s">
        <v>1</v>
      </c>
      <c r="B9" s="2">
        <v>11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229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143</v>
      </c>
      <c r="C14" s="13" t="s">
        <v>139</v>
      </c>
    </row>
    <row r="15" spans="1:3" x14ac:dyDescent="0.3">
      <c r="A15" t="s">
        <v>142</v>
      </c>
      <c r="B15" s="2" t="s">
        <v>144</v>
      </c>
      <c r="C15" s="13" t="s">
        <v>140</v>
      </c>
    </row>
    <row r="16" spans="1:3" x14ac:dyDescent="0.3">
      <c r="A16" t="s">
        <v>5</v>
      </c>
      <c r="B16" s="2" t="s">
        <v>3</v>
      </c>
      <c r="C16" s="13" t="s">
        <v>138</v>
      </c>
    </row>
    <row r="17" spans="1:5" x14ac:dyDescent="0.3">
      <c r="A17" t="s">
        <v>6</v>
      </c>
      <c r="B17" s="2">
        <v>11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0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_xlfn.SWITCH(B29,"vbump",_xlfn.SWITCH(TRUE,experiment078[[#This Row],[Value]]="",MiscData!U15,experiment078[[#This Row],[Value]]&gt;MiscData!N3,MiscData!U4,experiment078[[#This Row],[Value]]&lt;MiscData!O3,MiscData!U5,MiscData!U3),"fixed",_xlfn.SWITCH(TRUE,experiment078[[#This Row],[Value]]="",MiscData!U15,experiment078[[#This Row],[Value]]&gt;MiscData!N7,MiscData!U4,experiment078[[#This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_xlfn.SWITCH(B29,"vbump",_xlfn.SWITCH(TRUE,experiment078[[#This Row],[Value]]="",MiscData!U15,experiment078[[#This Row],[Value]]&gt;MiscData!N4,MiscData!U4,experiment078[[#This Row],[Value]]&lt;MiscData!O4,MiscData!U5,MiscData!U3),"fixed",_xlfn.SWITCH(TRUE,experiment078[[#This Row],[Value]]="",MiscData!U15,experiment078[[#This Row],[Value]]&gt;MiscData!N8,MiscData!U4,experiment078[[#This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_xlfn.SWITCH(TRUE,experiment078[[#This Row],[Value]]="",MiscData!U15,experiment078[[#This Row],[Value]]&gt;MiscData!Q3,MiscData!U4,experiment078[[#This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_xlfn.SWITCH(TRUE,experiment078[[#This Row],[Value]]="",MiscData!U15,experiment078[[#This Row],[Value]]&gt;MiscData!Q4,MiscData!U4,experiment078[[#This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Not used</v>
      </c>
    </row>
    <row r="35" spans="1:5" x14ac:dyDescent="0.3">
      <c r="A35" s="5" t="s">
        <v>32</v>
      </c>
      <c r="B35" s="2" t="s">
        <v>33</v>
      </c>
      <c r="C35" s="21" t="str" cm="1">
        <f t="array" ref="C35">_xlfn.SWITCH($B$6,"Sweep",MiscData!U7,MiscData!$U$14)</f>
        <v>Select Type: Frequency or Voltage</v>
      </c>
    </row>
    <row r="36" spans="1:5" x14ac:dyDescent="0.3">
      <c r="A36" s="5" t="s">
        <v>34</v>
      </c>
      <c r="B36" s="2" t="s">
        <v>64</v>
      </c>
      <c r="C36" s="21" t="str" cm="1">
        <f t="array" ref="C36">_xlfn.SWITCH($B$6,"Sweep",MiscData!U8,MiscData!$U$14)</f>
        <v>Select domain: IA or CFC</v>
      </c>
    </row>
    <row r="37" spans="1:5" x14ac:dyDescent="0.3">
      <c r="A37" s="5" t="s">
        <v>36</v>
      </c>
      <c r="B37" s="2">
        <v>8</v>
      </c>
      <c r="C37" s="21" t="str" cm="1">
        <f t="array" ref="C37">_xlfn.SWITCH($B$6,"Sweep",MiscData!U9,MiscData!$U$14)</f>
        <v>Start point of Sweep. Consider above limits for CFC / IA</v>
      </c>
    </row>
    <row r="38" spans="1:5" x14ac:dyDescent="0.3">
      <c r="A38" s="5" t="s">
        <v>37</v>
      </c>
      <c r="B38" s="2">
        <v>22</v>
      </c>
      <c r="C38" s="21" t="str" cm="1">
        <f t="array" ref="C38">_xlfn.SWITCH($B$6,"Sweep",MiscData!U10,MiscData!$U$14)</f>
        <v>End point of Sweep. Consider above limits for CFC / IA</v>
      </c>
    </row>
    <row r="39" spans="1:5" x14ac:dyDescent="0.3">
      <c r="A39" s="5" t="s">
        <v>38</v>
      </c>
      <c r="B39" s="2">
        <v>4</v>
      </c>
      <c r="C39" s="21" t="str" cm="1">
        <f t="array" ref="C39">_xlfn.SWITCH($B$6,"Sweep",MiscData!U11,MiscData!$U$14)</f>
        <v>Size of each step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/>
      <c r="C46" s="37" t="s">
        <v>157</v>
      </c>
      <c r="D46" s="46"/>
    </row>
    <row r="47" spans="1:5" x14ac:dyDescent="0.3">
      <c r="A47" s="33" t="s">
        <v>151</v>
      </c>
      <c r="B47" s="34"/>
      <c r="C47" s="37" t="s">
        <v>158</v>
      </c>
      <c r="D47" s="46"/>
    </row>
    <row r="48" spans="1:5" x14ac:dyDescent="0.3">
      <c r="A48" s="33" t="s">
        <v>152</v>
      </c>
      <c r="B48" s="34"/>
      <c r="C48" s="37" t="s">
        <v>159</v>
      </c>
      <c r="D48" s="46"/>
    </row>
    <row r="49" spans="1:4" x14ac:dyDescent="0.3">
      <c r="A49" s="33" t="s">
        <v>153</v>
      </c>
      <c r="B49" s="34"/>
      <c r="C49" s="37" t="s">
        <v>194</v>
      </c>
      <c r="D49" s="46"/>
    </row>
    <row r="50" spans="1:4" ht="15" thickBot="1" x14ac:dyDescent="0.35">
      <c r="A50" s="33" t="s">
        <v>154</v>
      </c>
      <c r="B50" s="34"/>
      <c r="C50" s="37" t="s">
        <v>160</v>
      </c>
      <c r="D50" s="47"/>
    </row>
    <row r="51" spans="1:4" ht="14.4" customHeight="1" x14ac:dyDescent="0.3">
      <c r="A51" s="26" t="s">
        <v>161</v>
      </c>
      <c r="B51" s="27"/>
      <c r="C51" s="38" t="s">
        <v>176</v>
      </c>
      <c r="D51" s="48" t="s">
        <v>3</v>
      </c>
    </row>
    <row r="52" spans="1:4" x14ac:dyDescent="0.3">
      <c r="A52" s="28" t="s">
        <v>162</v>
      </c>
      <c r="B52" s="29"/>
      <c r="C52" s="39" t="s">
        <v>177</v>
      </c>
      <c r="D52" s="49"/>
    </row>
    <row r="53" spans="1:4" x14ac:dyDescent="0.3">
      <c r="A53" s="28" t="s">
        <v>163</v>
      </c>
      <c r="B53" s="29" t="s">
        <v>184</v>
      </c>
      <c r="C53" s="39" t="s">
        <v>178</v>
      </c>
      <c r="D53" s="49"/>
    </row>
    <row r="54" spans="1:4" x14ac:dyDescent="0.3">
      <c r="A54" s="28" t="s">
        <v>164</v>
      </c>
      <c r="B54" s="29" t="s">
        <v>183</v>
      </c>
      <c r="C54" s="39" t="s">
        <v>179</v>
      </c>
      <c r="D54" s="49"/>
    </row>
    <row r="55" spans="1:4" x14ac:dyDescent="0.3">
      <c r="A55" s="28" t="s">
        <v>165</v>
      </c>
      <c r="B55" s="29" t="s">
        <v>182</v>
      </c>
      <c r="C55" s="39" t="s">
        <v>180</v>
      </c>
      <c r="D55" s="49"/>
    </row>
    <row r="56" spans="1:4" x14ac:dyDescent="0.3">
      <c r="A56" s="28" t="s">
        <v>166</v>
      </c>
      <c r="B56" s="29" t="s">
        <v>130</v>
      </c>
      <c r="C56" s="39" t="s">
        <v>181</v>
      </c>
      <c r="D56" s="49"/>
    </row>
    <row r="57" spans="1:4" x14ac:dyDescent="0.3">
      <c r="A57" s="28" t="s">
        <v>167</v>
      </c>
      <c r="B57" s="29" t="s">
        <v>185</v>
      </c>
      <c r="C57" s="39" t="s">
        <v>200</v>
      </c>
      <c r="D57" s="49"/>
    </row>
    <row r="58" spans="1:4" x14ac:dyDescent="0.3">
      <c r="A58" s="28" t="s">
        <v>168</v>
      </c>
      <c r="B58" s="29">
        <v>80064000</v>
      </c>
      <c r="C58" s="39" t="s">
        <v>201</v>
      </c>
      <c r="D58" s="49"/>
    </row>
    <row r="59" spans="1:4" x14ac:dyDescent="0.3">
      <c r="A59" s="28" t="s">
        <v>169</v>
      </c>
      <c r="B59" s="29" t="s">
        <v>186</v>
      </c>
      <c r="C59" s="39" t="s">
        <v>202</v>
      </c>
      <c r="D59" s="49"/>
    </row>
    <row r="60" spans="1:4" x14ac:dyDescent="0.3">
      <c r="A60" s="28" t="s">
        <v>170</v>
      </c>
      <c r="B60" s="29" t="s">
        <v>204</v>
      </c>
      <c r="C60" s="39" t="s">
        <v>203</v>
      </c>
      <c r="D60" s="49"/>
    </row>
    <row r="61" spans="1:4" x14ac:dyDescent="0.3">
      <c r="A61" s="28" t="s">
        <v>171</v>
      </c>
      <c r="B61" s="29"/>
      <c r="C61" s="39" t="s">
        <v>192</v>
      </c>
      <c r="D61" s="49"/>
    </row>
    <row r="62" spans="1:4" x14ac:dyDescent="0.3">
      <c r="A62" s="28" t="s">
        <v>187</v>
      </c>
      <c r="B62" s="29" t="s">
        <v>230</v>
      </c>
      <c r="C62" s="39" t="s">
        <v>193</v>
      </c>
      <c r="D62" s="49"/>
    </row>
    <row r="63" spans="1:4" x14ac:dyDescent="0.3">
      <c r="A63" s="28" t="s">
        <v>172</v>
      </c>
      <c r="B63" s="29"/>
      <c r="C63" s="39" t="s">
        <v>195</v>
      </c>
      <c r="D63" s="49"/>
    </row>
    <row r="64" spans="1:4" x14ac:dyDescent="0.3">
      <c r="A64" s="28" t="s">
        <v>175</v>
      </c>
      <c r="B64" s="29" t="b">
        <v>1</v>
      </c>
      <c r="C64" s="39" t="s">
        <v>196</v>
      </c>
      <c r="D64" s="49"/>
    </row>
    <row r="65" spans="1:4" x14ac:dyDescent="0.3">
      <c r="A65" s="28" t="s">
        <v>189</v>
      </c>
      <c r="B65" s="29" t="s">
        <v>188</v>
      </c>
      <c r="C65" s="39" t="s">
        <v>197</v>
      </c>
      <c r="D65" s="49"/>
    </row>
    <row r="66" spans="1:4" x14ac:dyDescent="0.3">
      <c r="A66" s="28" t="s">
        <v>174</v>
      </c>
      <c r="B66" s="29" t="s">
        <v>190</v>
      </c>
      <c r="C66" s="39" t="s">
        <v>199</v>
      </c>
      <c r="D66" s="49"/>
    </row>
    <row r="67" spans="1:4" ht="15" thickBot="1" x14ac:dyDescent="0.35">
      <c r="A67" s="30" t="s">
        <v>173</v>
      </c>
      <c r="B67" s="31" t="s">
        <v>191</v>
      </c>
      <c r="C67" s="40" t="s">
        <v>198</v>
      </c>
      <c r="D67" s="50"/>
    </row>
  </sheetData>
  <mergeCells count="5">
    <mergeCell ref="A1:B1"/>
    <mergeCell ref="C1:C2"/>
    <mergeCell ref="D28:E28"/>
    <mergeCell ref="D42:D50"/>
    <mergeCell ref="D51:D67"/>
  </mergeCells>
  <conditionalFormatting sqref="A11:A13 C11:C13">
    <cfRule type="expression" dxfId="268" priority="3">
      <formula>$B$3="Disabled"</formula>
    </cfRule>
  </conditionalFormatting>
  <conditionalFormatting sqref="A4:C6 A7 C7 A8:C9 A10 C10">
    <cfRule type="expression" dxfId="267" priority="8">
      <formula>$B$3="Disabled"</formula>
    </cfRule>
  </conditionalFormatting>
  <conditionalFormatting sqref="A14:C67">
    <cfRule type="expression" dxfId="266" priority="4">
      <formula>$B$3="Disabled"</formula>
    </cfRule>
  </conditionalFormatting>
  <conditionalFormatting sqref="A24:C24">
    <cfRule type="expression" dxfId="264" priority="11">
      <formula>$B$5="Slice"</formula>
    </cfRule>
  </conditionalFormatting>
  <conditionalFormatting sqref="A42:C50">
    <cfRule type="expression" dxfId="260" priority="5">
      <formula>$B$16&lt;&gt;"Linux"</formula>
    </cfRule>
  </conditionalFormatting>
  <conditionalFormatting sqref="A51:C67">
    <cfRule type="expression" dxfId="259" priority="7">
      <formula>$B$16&lt;&gt;"Dragon"</formula>
    </cfRule>
  </conditionalFormatting>
  <conditionalFormatting sqref="B11:B13">
    <cfRule type="expression" dxfId="258" priority="2">
      <formula>$B$3="Disabled"</formula>
    </cfRule>
  </conditionalFormatting>
  <conditionalFormatting sqref="C42:C60">
    <cfRule type="expression" dxfId="257" priority="6">
      <formula>$B$3="Disabled"</formula>
    </cfRule>
  </conditionalFormatting>
  <conditionalFormatting sqref="B10">
    <cfRule type="expression" dxfId="256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0D0022B0-48F0-4C1C-8BDF-AD30BE48D6F4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2" id="{0656108F-08DC-4725-A9E9-81E9B60B311B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9" id="{A6218638-758F-4E08-BE72-551AA955DDCA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3" id="{CD5F7330-860C-436B-8A9D-C6715FAE6962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9364E48B-D334-44F2-8011-1EFE6C37FCC3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BF5BE60E-36CC-40FE-BC51-A4170D232470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A8A9CB25-6E80-419F-9BBD-960F01FE9EC1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A24C779F-09DE-4A27-9401-66AC15D74C85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6324C40F-7EEF-4882-854E-8032539A4137}">
          <x14:formula1>
            <xm:f>MiscData!$B$3:$B$4</xm:f>
          </x14:formula1>
          <xm:sqref>B19:B24</xm:sqref>
        </x14:dataValidation>
        <x14:dataValidation type="list" allowBlank="1" showInputMessage="1" showErrorMessage="1" xr:uid="{443992B2-FA11-4A0E-AED9-BC0889C77BBA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D975C408-ACE4-41BA-AECC-98093FF8FE3E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2EFCA15F-18DA-4B0D-B713-91AF8102671E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0AC1BA01-72A5-474F-B786-ECAAD6FC2555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6D90AED6-EE46-4155-AE35-B6DE53509A44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24BA2B51-574B-42EE-8C49-DA09FB223B82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98309-9FDA-4C74-B0F0-C922F1ABF403}">
  <sheetPr>
    <tabColor theme="6" tint="0.79998168889431442"/>
  </sheetPr>
  <dimension ref="A1:E67"/>
  <sheetViews>
    <sheetView topLeftCell="A10" workbookViewId="0">
      <selection activeCell="B5" sqref="B5"/>
    </sheetView>
  </sheetViews>
  <sheetFormatPr defaultRowHeight="14.4" x14ac:dyDescent="0.3"/>
  <cols>
    <col min="1" max="1" width="21.6640625" bestFit="1" customWidth="1"/>
    <col min="2" max="2" width="67.66406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_xlfn.SWITCH(experiment0712[[#This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241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10</v>
      </c>
      <c r="C6" s="13" t="s">
        <v>89</v>
      </c>
    </row>
    <row r="7" spans="1:3" x14ac:dyDescent="0.3">
      <c r="A7" t="s">
        <v>24</v>
      </c>
      <c r="B7" t="s">
        <v>205</v>
      </c>
      <c r="C7" s="13" t="s">
        <v>91</v>
      </c>
    </row>
    <row r="8" spans="1:3" x14ac:dyDescent="0.3">
      <c r="A8" t="s">
        <v>25</v>
      </c>
      <c r="B8" s="2" t="s">
        <v>147</v>
      </c>
      <c r="C8" s="13" t="s">
        <v>92</v>
      </c>
    </row>
    <row r="9" spans="1:3" x14ac:dyDescent="0.3">
      <c r="A9" t="s">
        <v>1</v>
      </c>
      <c r="B9" s="2">
        <v>11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229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143</v>
      </c>
      <c r="C14" s="13" t="s">
        <v>139</v>
      </c>
    </row>
    <row r="15" spans="1:3" x14ac:dyDescent="0.3">
      <c r="A15" t="s">
        <v>142</v>
      </c>
      <c r="B15" s="2" t="s">
        <v>144</v>
      </c>
      <c r="C15" s="13" t="s">
        <v>140</v>
      </c>
    </row>
    <row r="16" spans="1:3" x14ac:dyDescent="0.3">
      <c r="A16" t="s">
        <v>5</v>
      </c>
      <c r="B16" s="2" t="s">
        <v>3</v>
      </c>
      <c r="C16" s="13" t="s">
        <v>138</v>
      </c>
    </row>
    <row r="17" spans="1:5" x14ac:dyDescent="0.3">
      <c r="A17" t="s">
        <v>6</v>
      </c>
      <c r="B17" s="2">
        <v>11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0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_xlfn.SWITCH(B29,"vbump",_xlfn.SWITCH(TRUE,experiment0712[[#This Row],[Value]]="",MiscData!U15,experiment0712[[#This Row],[Value]]&gt;MiscData!N3,MiscData!U4,experiment0712[[#This Row],[Value]]&lt;MiscData!O3,MiscData!U5,MiscData!U3),"fixed",_xlfn.SWITCH(TRUE,experiment0712[[#This Row],[Value]]="",MiscData!U15,experiment0712[[#This Row],[Value]]&gt;MiscData!N7,MiscData!U4,experiment0712[[#This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_xlfn.SWITCH(B29,"vbump",_xlfn.SWITCH(TRUE,experiment0712[[#This Row],[Value]]="",MiscData!U15,experiment0712[[#This Row],[Value]]&gt;MiscData!N4,MiscData!U4,experiment0712[[#This Row],[Value]]&lt;MiscData!O4,MiscData!U5,MiscData!U3),"fixed",_xlfn.SWITCH(TRUE,experiment0712[[#This Row],[Value]]="",MiscData!U15,experiment0712[[#This Row],[Value]]&gt;MiscData!N8,MiscData!U4,experiment0712[[#This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_xlfn.SWITCH(TRUE,experiment0712[[#This Row],[Value]]="",MiscData!U15,experiment0712[[#This Row],[Value]]&gt;MiscData!Q3,MiscData!U4,experiment0712[[#This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_xlfn.SWITCH(TRUE,experiment0712[[#This Row],[Value]]="",MiscData!U15,experiment0712[[#This Row],[Value]]&gt;MiscData!Q4,MiscData!U4,experiment0712[[#This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Not used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Select Type: Frequency or Voltage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Select domain: IA or CFC</v>
      </c>
    </row>
    <row r="37" spans="1:5" x14ac:dyDescent="0.3">
      <c r="A37" s="5" t="s">
        <v>36</v>
      </c>
      <c r="B37" s="2">
        <v>0.05</v>
      </c>
      <c r="C37" s="21" t="str" cm="1">
        <f t="array" ref="C37">_xlfn.SWITCH($B$6,"Sweep",MiscData!U9,MiscData!$U$14)</f>
        <v>Start point of Sweep. Consider above limits for CFC / IA</v>
      </c>
    </row>
    <row r="38" spans="1:5" x14ac:dyDescent="0.3">
      <c r="A38" s="5" t="s">
        <v>37</v>
      </c>
      <c r="B38" s="2">
        <v>0.2</v>
      </c>
      <c r="C38" s="21" t="str" cm="1">
        <f t="array" ref="C38">_xlfn.SWITCH($B$6,"Sweep",MiscData!U10,MiscData!$U$14)</f>
        <v>End point of Sweep. Consider above limits for CFC / IA</v>
      </c>
    </row>
    <row r="39" spans="1:5" x14ac:dyDescent="0.3">
      <c r="A39" s="5" t="s">
        <v>38</v>
      </c>
      <c r="B39" s="2">
        <v>0.05</v>
      </c>
      <c r="C39" s="21" t="str" cm="1">
        <f t="array" ref="C39">_xlfn.SWITCH($B$6,"Sweep",MiscData!U11,MiscData!$U$14)</f>
        <v>Size of each step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/>
      <c r="C46" s="37" t="s">
        <v>157</v>
      </c>
      <c r="D46" s="46"/>
    </row>
    <row r="47" spans="1:5" x14ac:dyDescent="0.3">
      <c r="A47" s="33" t="s">
        <v>151</v>
      </c>
      <c r="B47" s="34"/>
      <c r="C47" s="37" t="s">
        <v>158</v>
      </c>
      <c r="D47" s="46"/>
    </row>
    <row r="48" spans="1:5" x14ac:dyDescent="0.3">
      <c r="A48" s="33" t="s">
        <v>152</v>
      </c>
      <c r="B48" s="34"/>
      <c r="C48" s="37" t="s">
        <v>159</v>
      </c>
      <c r="D48" s="46"/>
    </row>
    <row r="49" spans="1:4" x14ac:dyDescent="0.3">
      <c r="A49" s="33" t="s">
        <v>153</v>
      </c>
      <c r="B49" s="34"/>
      <c r="C49" s="37" t="s">
        <v>194</v>
      </c>
      <c r="D49" s="46"/>
    </row>
    <row r="50" spans="1:4" ht="15" thickBot="1" x14ac:dyDescent="0.35">
      <c r="A50" s="33" t="s">
        <v>154</v>
      </c>
      <c r="B50" s="34"/>
      <c r="C50" s="37" t="s">
        <v>160</v>
      </c>
      <c r="D50" s="47"/>
    </row>
    <row r="51" spans="1:4" ht="14.4" customHeight="1" x14ac:dyDescent="0.3">
      <c r="A51" s="26" t="s">
        <v>161</v>
      </c>
      <c r="B51" s="27"/>
      <c r="C51" s="38" t="s">
        <v>176</v>
      </c>
      <c r="D51" s="48" t="s">
        <v>3</v>
      </c>
    </row>
    <row r="52" spans="1:4" x14ac:dyDescent="0.3">
      <c r="A52" s="28" t="s">
        <v>162</v>
      </c>
      <c r="B52" s="29"/>
      <c r="C52" s="39" t="s">
        <v>177</v>
      </c>
      <c r="D52" s="49"/>
    </row>
    <row r="53" spans="1:4" x14ac:dyDescent="0.3">
      <c r="A53" s="28" t="s">
        <v>163</v>
      </c>
      <c r="B53" s="29" t="s">
        <v>184</v>
      </c>
      <c r="C53" s="39" t="s">
        <v>178</v>
      </c>
      <c r="D53" s="49"/>
    </row>
    <row r="54" spans="1:4" x14ac:dyDescent="0.3">
      <c r="A54" s="28" t="s">
        <v>164</v>
      </c>
      <c r="B54" s="29" t="s">
        <v>183</v>
      </c>
      <c r="C54" s="39" t="s">
        <v>179</v>
      </c>
      <c r="D54" s="49"/>
    </row>
    <row r="55" spans="1:4" x14ac:dyDescent="0.3">
      <c r="A55" s="28" t="s">
        <v>165</v>
      </c>
      <c r="B55" s="29" t="s">
        <v>182</v>
      </c>
      <c r="C55" s="39" t="s">
        <v>180</v>
      </c>
      <c r="D55" s="49"/>
    </row>
    <row r="56" spans="1:4" x14ac:dyDescent="0.3">
      <c r="A56" s="28" t="s">
        <v>166</v>
      </c>
      <c r="B56" s="29" t="s">
        <v>130</v>
      </c>
      <c r="C56" s="39" t="s">
        <v>181</v>
      </c>
      <c r="D56" s="49"/>
    </row>
    <row r="57" spans="1:4" x14ac:dyDescent="0.3">
      <c r="A57" s="28" t="s">
        <v>167</v>
      </c>
      <c r="B57" s="29" t="s">
        <v>185</v>
      </c>
      <c r="C57" s="39" t="s">
        <v>200</v>
      </c>
      <c r="D57" s="49"/>
    </row>
    <row r="58" spans="1:4" x14ac:dyDescent="0.3">
      <c r="A58" s="28" t="s">
        <v>168</v>
      </c>
      <c r="B58" s="29">
        <v>80064000</v>
      </c>
      <c r="C58" s="39" t="s">
        <v>201</v>
      </c>
      <c r="D58" s="49"/>
    </row>
    <row r="59" spans="1:4" x14ac:dyDescent="0.3">
      <c r="A59" s="28" t="s">
        <v>169</v>
      </c>
      <c r="B59" s="29" t="s">
        <v>186</v>
      </c>
      <c r="C59" s="39" t="s">
        <v>202</v>
      </c>
      <c r="D59" s="49"/>
    </row>
    <row r="60" spans="1:4" x14ac:dyDescent="0.3">
      <c r="A60" s="28" t="s">
        <v>170</v>
      </c>
      <c r="B60" s="29" t="s">
        <v>204</v>
      </c>
      <c r="C60" s="39" t="s">
        <v>203</v>
      </c>
      <c r="D60" s="49"/>
    </row>
    <row r="61" spans="1:4" x14ac:dyDescent="0.3">
      <c r="A61" s="28" t="s">
        <v>171</v>
      </c>
      <c r="B61" s="29"/>
      <c r="C61" s="39" t="s">
        <v>192</v>
      </c>
      <c r="D61" s="49"/>
    </row>
    <row r="62" spans="1:4" x14ac:dyDescent="0.3">
      <c r="A62" s="28" t="s">
        <v>187</v>
      </c>
      <c r="B62" s="29" t="s">
        <v>230</v>
      </c>
      <c r="C62" s="39" t="s">
        <v>193</v>
      </c>
      <c r="D62" s="49"/>
    </row>
    <row r="63" spans="1:4" x14ac:dyDescent="0.3">
      <c r="A63" s="28" t="s">
        <v>172</v>
      </c>
      <c r="B63" s="29"/>
      <c r="C63" s="39" t="s">
        <v>195</v>
      </c>
      <c r="D63" s="49"/>
    </row>
    <row r="64" spans="1:4" x14ac:dyDescent="0.3">
      <c r="A64" s="28" t="s">
        <v>175</v>
      </c>
      <c r="B64" s="29" t="b">
        <v>1</v>
      </c>
      <c r="C64" s="39" t="s">
        <v>196</v>
      </c>
      <c r="D64" s="49"/>
    </row>
    <row r="65" spans="1:4" x14ac:dyDescent="0.3">
      <c r="A65" s="28" t="s">
        <v>189</v>
      </c>
      <c r="B65" s="29" t="s">
        <v>188</v>
      </c>
      <c r="C65" s="39" t="s">
        <v>197</v>
      </c>
      <c r="D65" s="49"/>
    </row>
    <row r="66" spans="1:4" x14ac:dyDescent="0.3">
      <c r="A66" s="28" t="s">
        <v>174</v>
      </c>
      <c r="B66" s="29" t="s">
        <v>190</v>
      </c>
      <c r="C66" s="39" t="s">
        <v>199</v>
      </c>
      <c r="D66" s="49"/>
    </row>
    <row r="67" spans="1:4" ht="15" thickBot="1" x14ac:dyDescent="0.35">
      <c r="A67" s="30" t="s">
        <v>173</v>
      </c>
      <c r="B67" s="31" t="s">
        <v>191</v>
      </c>
      <c r="C67" s="40" t="s">
        <v>198</v>
      </c>
      <c r="D67" s="50"/>
    </row>
  </sheetData>
  <mergeCells count="5">
    <mergeCell ref="A1:B1"/>
    <mergeCell ref="C1:C2"/>
    <mergeCell ref="D28:E28"/>
    <mergeCell ref="D42:D50"/>
    <mergeCell ref="D51:D67"/>
  </mergeCells>
  <conditionalFormatting sqref="A11:A13 C11:C13">
    <cfRule type="expression" dxfId="255" priority="3">
      <formula>$B$3="Disabled"</formula>
    </cfRule>
  </conditionalFormatting>
  <conditionalFormatting sqref="A4:C6 A7 C7 A8:C9 A10 C10">
    <cfRule type="expression" dxfId="254" priority="8">
      <formula>$B$3="Disabled"</formula>
    </cfRule>
  </conditionalFormatting>
  <conditionalFormatting sqref="A14:C67">
    <cfRule type="expression" dxfId="253" priority="4">
      <formula>$B$3="Disabled"</formula>
    </cfRule>
  </conditionalFormatting>
  <conditionalFormatting sqref="A24:C24">
    <cfRule type="expression" dxfId="251" priority="11">
      <formula>$B$5="Slice"</formula>
    </cfRule>
  </conditionalFormatting>
  <conditionalFormatting sqref="A42:C50">
    <cfRule type="expression" dxfId="247" priority="5">
      <formula>$B$16&lt;&gt;"Linux"</formula>
    </cfRule>
  </conditionalFormatting>
  <conditionalFormatting sqref="A51:C67">
    <cfRule type="expression" dxfId="246" priority="7">
      <formula>$B$16&lt;&gt;"Dragon"</formula>
    </cfRule>
  </conditionalFormatting>
  <conditionalFormatting sqref="B11:B13">
    <cfRule type="expression" dxfId="245" priority="2">
      <formula>$B$3="Disabled"</formula>
    </cfRule>
  </conditionalFormatting>
  <conditionalFormatting sqref="C42:C60">
    <cfRule type="expression" dxfId="244" priority="6">
      <formula>$B$3="Disabled"</formula>
    </cfRule>
  </conditionalFormatting>
  <conditionalFormatting sqref="B10">
    <cfRule type="expression" dxfId="243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3A7C8CBA-9323-4E00-B285-C99A2E5044C8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2" id="{34CBDD36-1DB4-4437-BA78-C9FB001F7AAA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9" id="{CD432E2E-1837-45EA-A380-F2B12F1D98F8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3" id="{E0218DCA-6A6E-4EC7-A230-15230E10E253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D5CDD324-EA90-41D0-AF7C-F0AFDCF89CCF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7C073402-49BC-4F1D-BF68-EFEA31902A57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C992A582-E3E4-4787-8D30-F39CD2D13E67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DDE56444-FC47-40ED-B119-F068FA11C6D7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91631D8D-1514-4FFA-A7D4-D2DA5B6BB102}">
          <x14:formula1>
            <xm:f>MiscData!$B$3:$B$4</xm:f>
          </x14:formula1>
          <xm:sqref>B19:B24</xm:sqref>
        </x14:dataValidation>
        <x14:dataValidation type="list" allowBlank="1" showInputMessage="1" showErrorMessage="1" xr:uid="{3F224812-C954-4A71-B833-BCA0CD9E28D0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FDBF1964-15C1-4666-9866-053CEDF5E72B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78FD9B00-12AD-4A5C-AA0D-2CF0E41DE613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D73103E4-609B-4ED3-9D9A-3CD5BB9093D2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38F644D9-7696-4F78-9B6A-2018EFBA85D6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78A956AA-4301-4E5A-89E8-E000B420A261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DABDE-0970-4B0C-B32E-07A8748CAC7F}">
  <sheetPr>
    <tabColor theme="6" tint="0.79998168889431442"/>
  </sheetPr>
  <dimension ref="A1:E67"/>
  <sheetViews>
    <sheetView workbookViewId="0">
      <selection activeCell="B5" sqref="B5"/>
    </sheetView>
  </sheetViews>
  <sheetFormatPr defaultRowHeight="14.4" x14ac:dyDescent="0.3"/>
  <cols>
    <col min="1" max="1" width="21.6640625" bestFit="1" customWidth="1"/>
    <col min="2" max="2" width="67.66406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_xlfn.SWITCH(experiment07815[[#This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245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10</v>
      </c>
      <c r="C6" s="13" t="s">
        <v>89</v>
      </c>
    </row>
    <row r="7" spans="1:3" x14ac:dyDescent="0.3">
      <c r="A7" t="s">
        <v>24</v>
      </c>
      <c r="B7" t="s">
        <v>205</v>
      </c>
      <c r="C7" s="13" t="s">
        <v>91</v>
      </c>
    </row>
    <row r="8" spans="1:3" x14ac:dyDescent="0.3">
      <c r="A8" t="s">
        <v>25</v>
      </c>
      <c r="B8" s="2" t="s">
        <v>147</v>
      </c>
      <c r="C8" s="13" t="s">
        <v>92</v>
      </c>
    </row>
    <row r="9" spans="1:3" x14ac:dyDescent="0.3">
      <c r="A9" t="s">
        <v>1</v>
      </c>
      <c r="B9" s="2">
        <v>11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229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143</v>
      </c>
      <c r="C14" s="13" t="s">
        <v>139</v>
      </c>
    </row>
    <row r="15" spans="1:3" x14ac:dyDescent="0.3">
      <c r="A15" t="s">
        <v>142</v>
      </c>
      <c r="B15" s="2" t="s">
        <v>144</v>
      </c>
      <c r="C15" s="13" t="s">
        <v>140</v>
      </c>
    </row>
    <row r="16" spans="1:3" x14ac:dyDescent="0.3">
      <c r="A16" t="s">
        <v>5</v>
      </c>
      <c r="B16" s="2" t="s">
        <v>3</v>
      </c>
      <c r="C16" s="13" t="s">
        <v>138</v>
      </c>
    </row>
    <row r="17" spans="1:5" x14ac:dyDescent="0.3">
      <c r="A17" t="s">
        <v>6</v>
      </c>
      <c r="B17" s="2">
        <v>11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0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_xlfn.SWITCH(B29,"vbump",_xlfn.SWITCH(TRUE,experiment07815[[#This Row],[Value]]="",MiscData!U15,experiment07815[[#This Row],[Value]]&gt;MiscData!N3,MiscData!U4,experiment07815[[#This Row],[Value]]&lt;MiscData!O3,MiscData!U5,MiscData!U3),"fixed",_xlfn.SWITCH(TRUE,experiment07815[[#This Row],[Value]]="",MiscData!U15,experiment07815[[#This Row],[Value]]&gt;MiscData!N7,MiscData!U4,experiment07815[[#This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_xlfn.SWITCH(B29,"vbump",_xlfn.SWITCH(TRUE,experiment07815[[#This Row],[Value]]="",MiscData!U15,experiment07815[[#This Row],[Value]]&gt;MiscData!N4,MiscData!U4,experiment07815[[#This Row],[Value]]&lt;MiscData!O4,MiscData!U5,MiscData!U3),"fixed",_xlfn.SWITCH(TRUE,experiment07815[[#This Row],[Value]]="",MiscData!U15,experiment07815[[#This Row],[Value]]&gt;MiscData!N8,MiscData!U4,experiment07815[[#This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_xlfn.SWITCH(TRUE,experiment07815[[#This Row],[Value]]="",MiscData!U15,experiment07815[[#This Row],[Value]]&gt;MiscData!Q3,MiscData!U4,experiment07815[[#This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_xlfn.SWITCH(TRUE,experiment07815[[#This Row],[Value]]="",MiscData!U15,experiment07815[[#This Row],[Value]]&gt;MiscData!Q4,MiscData!U4,experiment07815[[#This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Not used</v>
      </c>
    </row>
    <row r="35" spans="1:5" x14ac:dyDescent="0.3">
      <c r="A35" s="5" t="s">
        <v>32</v>
      </c>
      <c r="B35" s="2" t="s">
        <v>33</v>
      </c>
      <c r="C35" s="21" t="str" cm="1">
        <f t="array" ref="C35">_xlfn.SWITCH($B$6,"Sweep",MiscData!U7,MiscData!$U$14)</f>
        <v>Select Type: Frequency or Voltage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Select domain: IA or CFC</v>
      </c>
    </row>
    <row r="37" spans="1:5" x14ac:dyDescent="0.3">
      <c r="A37" s="5" t="s">
        <v>36</v>
      </c>
      <c r="B37" s="2">
        <v>8</v>
      </c>
      <c r="C37" s="21" t="str" cm="1">
        <f t="array" ref="C37">_xlfn.SWITCH($B$6,"Sweep",MiscData!U9,MiscData!$U$14)</f>
        <v>Start point of Sweep. Consider above limits for CFC / IA</v>
      </c>
    </row>
    <row r="38" spans="1:5" x14ac:dyDescent="0.3">
      <c r="A38" s="5" t="s">
        <v>37</v>
      </c>
      <c r="B38" s="2">
        <v>32</v>
      </c>
      <c r="C38" s="21" t="str" cm="1">
        <f t="array" ref="C38">_xlfn.SWITCH($B$6,"Sweep",MiscData!U10,MiscData!$U$14)</f>
        <v>End point of Sweep. Consider above limits for CFC / IA</v>
      </c>
    </row>
    <row r="39" spans="1:5" x14ac:dyDescent="0.3">
      <c r="A39" s="5" t="s">
        <v>38</v>
      </c>
      <c r="B39" s="2">
        <v>4</v>
      </c>
      <c r="C39" s="21" t="str" cm="1">
        <f t="array" ref="C39">_xlfn.SWITCH($B$6,"Sweep",MiscData!U11,MiscData!$U$14)</f>
        <v>Size of each step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/>
      <c r="C46" s="37" t="s">
        <v>157</v>
      </c>
      <c r="D46" s="46"/>
    </row>
    <row r="47" spans="1:5" x14ac:dyDescent="0.3">
      <c r="A47" s="33" t="s">
        <v>151</v>
      </c>
      <c r="B47" s="34"/>
      <c r="C47" s="37" t="s">
        <v>158</v>
      </c>
      <c r="D47" s="46"/>
    </row>
    <row r="48" spans="1:5" x14ac:dyDescent="0.3">
      <c r="A48" s="33" t="s">
        <v>152</v>
      </c>
      <c r="B48" s="34"/>
      <c r="C48" s="37" t="s">
        <v>159</v>
      </c>
      <c r="D48" s="46"/>
    </row>
    <row r="49" spans="1:4" x14ac:dyDescent="0.3">
      <c r="A49" s="33" t="s">
        <v>153</v>
      </c>
      <c r="B49" s="34"/>
      <c r="C49" s="37" t="s">
        <v>194</v>
      </c>
      <c r="D49" s="46"/>
    </row>
    <row r="50" spans="1:4" ht="15" thickBot="1" x14ac:dyDescent="0.35">
      <c r="A50" s="33" t="s">
        <v>154</v>
      </c>
      <c r="B50" s="34"/>
      <c r="C50" s="37" t="s">
        <v>160</v>
      </c>
      <c r="D50" s="47"/>
    </row>
    <row r="51" spans="1:4" ht="14.4" customHeight="1" x14ac:dyDescent="0.3">
      <c r="A51" s="26" t="s">
        <v>161</v>
      </c>
      <c r="B51" s="27"/>
      <c r="C51" s="38" t="s">
        <v>176</v>
      </c>
      <c r="D51" s="48" t="s">
        <v>3</v>
      </c>
    </row>
    <row r="52" spans="1:4" x14ac:dyDescent="0.3">
      <c r="A52" s="28" t="s">
        <v>162</v>
      </c>
      <c r="B52" s="29"/>
      <c r="C52" s="39" t="s">
        <v>177</v>
      </c>
      <c r="D52" s="49"/>
    </row>
    <row r="53" spans="1:4" x14ac:dyDescent="0.3">
      <c r="A53" s="28" t="s">
        <v>163</v>
      </c>
      <c r="B53" s="29" t="s">
        <v>184</v>
      </c>
      <c r="C53" s="39" t="s">
        <v>178</v>
      </c>
      <c r="D53" s="49"/>
    </row>
    <row r="54" spans="1:4" x14ac:dyDescent="0.3">
      <c r="A54" s="28" t="s">
        <v>164</v>
      </c>
      <c r="B54" s="29" t="s">
        <v>183</v>
      </c>
      <c r="C54" s="39" t="s">
        <v>179</v>
      </c>
      <c r="D54" s="49"/>
    </row>
    <row r="55" spans="1:4" x14ac:dyDescent="0.3">
      <c r="A55" s="28" t="s">
        <v>165</v>
      </c>
      <c r="B55" s="29" t="s">
        <v>182</v>
      </c>
      <c r="C55" s="39" t="s">
        <v>180</v>
      </c>
      <c r="D55" s="49"/>
    </row>
    <row r="56" spans="1:4" x14ac:dyDescent="0.3">
      <c r="A56" s="28" t="s">
        <v>166</v>
      </c>
      <c r="B56" s="29" t="s">
        <v>130</v>
      </c>
      <c r="C56" s="39" t="s">
        <v>181</v>
      </c>
      <c r="D56" s="49"/>
    </row>
    <row r="57" spans="1:4" x14ac:dyDescent="0.3">
      <c r="A57" s="28" t="s">
        <v>167</v>
      </c>
      <c r="B57" s="29" t="s">
        <v>185</v>
      </c>
      <c r="C57" s="39" t="s">
        <v>200</v>
      </c>
      <c r="D57" s="49"/>
    </row>
    <row r="58" spans="1:4" x14ac:dyDescent="0.3">
      <c r="A58" s="28" t="s">
        <v>168</v>
      </c>
      <c r="B58" s="29">
        <v>80064000</v>
      </c>
      <c r="C58" s="39" t="s">
        <v>201</v>
      </c>
      <c r="D58" s="49"/>
    </row>
    <row r="59" spans="1:4" x14ac:dyDescent="0.3">
      <c r="A59" s="28" t="s">
        <v>169</v>
      </c>
      <c r="B59" s="29" t="s">
        <v>186</v>
      </c>
      <c r="C59" s="39" t="s">
        <v>202</v>
      </c>
      <c r="D59" s="49"/>
    </row>
    <row r="60" spans="1:4" x14ac:dyDescent="0.3">
      <c r="A60" s="28" t="s">
        <v>170</v>
      </c>
      <c r="B60" s="29" t="s">
        <v>204</v>
      </c>
      <c r="C60" s="39" t="s">
        <v>203</v>
      </c>
      <c r="D60" s="49"/>
    </row>
    <row r="61" spans="1:4" x14ac:dyDescent="0.3">
      <c r="A61" s="28" t="s">
        <v>171</v>
      </c>
      <c r="B61" s="29"/>
      <c r="C61" s="39" t="s">
        <v>192</v>
      </c>
      <c r="D61" s="49"/>
    </row>
    <row r="62" spans="1:4" x14ac:dyDescent="0.3">
      <c r="A62" s="28" t="s">
        <v>187</v>
      </c>
      <c r="B62" s="29" t="s">
        <v>230</v>
      </c>
      <c r="C62" s="39" t="s">
        <v>193</v>
      </c>
      <c r="D62" s="49"/>
    </row>
    <row r="63" spans="1:4" x14ac:dyDescent="0.3">
      <c r="A63" s="28" t="s">
        <v>172</v>
      </c>
      <c r="B63" s="29"/>
      <c r="C63" s="39" t="s">
        <v>195</v>
      </c>
      <c r="D63" s="49"/>
    </row>
    <row r="64" spans="1:4" x14ac:dyDescent="0.3">
      <c r="A64" s="28" t="s">
        <v>175</v>
      </c>
      <c r="B64" s="29" t="b">
        <v>1</v>
      </c>
      <c r="C64" s="39" t="s">
        <v>196</v>
      </c>
      <c r="D64" s="49"/>
    </row>
    <row r="65" spans="1:4" x14ac:dyDescent="0.3">
      <c r="A65" s="28" t="s">
        <v>189</v>
      </c>
      <c r="B65" s="29" t="s">
        <v>188</v>
      </c>
      <c r="C65" s="39" t="s">
        <v>197</v>
      </c>
      <c r="D65" s="49"/>
    </row>
    <row r="66" spans="1:4" x14ac:dyDescent="0.3">
      <c r="A66" s="28" t="s">
        <v>174</v>
      </c>
      <c r="B66" s="29" t="s">
        <v>190</v>
      </c>
      <c r="C66" s="39" t="s">
        <v>199</v>
      </c>
      <c r="D66" s="49"/>
    </row>
    <row r="67" spans="1:4" ht="15" thickBot="1" x14ac:dyDescent="0.35">
      <c r="A67" s="30" t="s">
        <v>173</v>
      </c>
      <c r="B67" s="31" t="s">
        <v>191</v>
      </c>
      <c r="C67" s="40" t="s">
        <v>198</v>
      </c>
      <c r="D67" s="50"/>
    </row>
  </sheetData>
  <mergeCells count="5">
    <mergeCell ref="A1:B1"/>
    <mergeCell ref="C1:C2"/>
    <mergeCell ref="D28:E28"/>
    <mergeCell ref="D42:D50"/>
    <mergeCell ref="D51:D67"/>
  </mergeCells>
  <conditionalFormatting sqref="A11:A13 C11:C13">
    <cfRule type="expression" dxfId="242" priority="3">
      <formula>$B$3="Disabled"</formula>
    </cfRule>
  </conditionalFormatting>
  <conditionalFormatting sqref="A4:C6 A7 C7 A8:C9 A10 C10">
    <cfRule type="expression" dxfId="241" priority="8">
      <formula>$B$3="Disabled"</formula>
    </cfRule>
  </conditionalFormatting>
  <conditionalFormatting sqref="A14:C67">
    <cfRule type="expression" dxfId="240" priority="4">
      <formula>$B$3="Disabled"</formula>
    </cfRule>
  </conditionalFormatting>
  <conditionalFormatting sqref="A24:C24">
    <cfRule type="expression" dxfId="238" priority="11">
      <formula>$B$5="Slice"</formula>
    </cfRule>
  </conditionalFormatting>
  <conditionalFormatting sqref="A42:C50">
    <cfRule type="expression" dxfId="234" priority="5">
      <formula>$B$16&lt;&gt;"Linux"</formula>
    </cfRule>
  </conditionalFormatting>
  <conditionalFormatting sqref="A51:C67">
    <cfRule type="expression" dxfId="233" priority="7">
      <formula>$B$16&lt;&gt;"Dragon"</formula>
    </cfRule>
  </conditionalFormatting>
  <conditionalFormatting sqref="B11:B13">
    <cfRule type="expression" dxfId="232" priority="2">
      <formula>$B$3="Disabled"</formula>
    </cfRule>
  </conditionalFormatting>
  <conditionalFormatting sqref="C42:C60">
    <cfRule type="expression" dxfId="231" priority="6">
      <formula>$B$3="Disabled"</formula>
    </cfRule>
  </conditionalFormatting>
  <conditionalFormatting sqref="B10">
    <cfRule type="expression" dxfId="230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FEC64523-13E4-40F2-B2A2-BEBD5E695001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2" id="{EF1AC50B-EB1B-48F5-B680-EC7C3275AAAB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9" id="{DD041F9F-203D-47D8-AC0F-6B43AE3D376E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3" id="{C65A565E-B037-41E1-97DC-70429D74BAAA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C15EAD32-E4B7-4E69-9230-1DCF3DFAEF3F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89C02E36-BDD5-4B3A-9F98-FDB2F7F1EDBB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6A0F370C-780D-4802-BC98-EEF28BE424C9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C0C818A8-E338-49C6-B857-F7BCEC76DF91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93375C52-1A69-43D3-B730-92175802070A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FE2FA9FD-E920-4D95-A49A-BE7B5DD82F49}">
          <x14:formula1>
            <xm:f>MiscData!$B$3:$B$4</xm:f>
          </x14:formula1>
          <xm:sqref>B19:B24</xm:sqref>
        </x14:dataValidation>
        <x14:dataValidation type="list" allowBlank="1" showInputMessage="1" showErrorMessage="1" xr:uid="{598BD458-EE40-4614-9363-122EE592E37A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BA1801D0-9B1E-4D17-93A9-2F24634A4BFB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C52ED415-8120-48F7-8BBC-EAF97263AEA9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8FC248DC-6A3C-4CB4-8B65-8798BF9580CE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AF632B83-9338-42BF-806D-28E2C477C013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B00C-7312-42EC-88C4-14C155AD55F0}">
  <sheetPr>
    <tabColor theme="6" tint="0.79998168889431442"/>
  </sheetPr>
  <dimension ref="A1:E67"/>
  <sheetViews>
    <sheetView workbookViewId="0">
      <selection activeCell="B5" sqref="B5"/>
    </sheetView>
  </sheetViews>
  <sheetFormatPr defaultRowHeight="14.4" x14ac:dyDescent="0.3"/>
  <cols>
    <col min="1" max="1" width="21.6640625" bestFit="1" customWidth="1"/>
    <col min="2" max="2" width="67.66406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_xlfn.SWITCH(experiment0781518[[#This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246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10</v>
      </c>
      <c r="C6" s="13" t="s">
        <v>89</v>
      </c>
    </row>
    <row r="7" spans="1:3" x14ac:dyDescent="0.3">
      <c r="A7" t="s">
        <v>24</v>
      </c>
      <c r="B7" t="s">
        <v>205</v>
      </c>
      <c r="C7" s="13" t="s">
        <v>91</v>
      </c>
    </row>
    <row r="8" spans="1:3" x14ac:dyDescent="0.3">
      <c r="A8" t="s">
        <v>25</v>
      </c>
      <c r="B8" s="2" t="s">
        <v>147</v>
      </c>
      <c r="C8" s="13" t="s">
        <v>92</v>
      </c>
    </row>
    <row r="9" spans="1:3" x14ac:dyDescent="0.3">
      <c r="A9" t="s">
        <v>1</v>
      </c>
      <c r="B9" s="2">
        <v>11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229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143</v>
      </c>
      <c r="C14" s="13" t="s">
        <v>139</v>
      </c>
    </row>
    <row r="15" spans="1:3" x14ac:dyDescent="0.3">
      <c r="A15" t="s">
        <v>142</v>
      </c>
      <c r="B15" s="2" t="s">
        <v>144</v>
      </c>
      <c r="C15" s="13" t="s">
        <v>140</v>
      </c>
    </row>
    <row r="16" spans="1:3" x14ac:dyDescent="0.3">
      <c r="A16" t="s">
        <v>5</v>
      </c>
      <c r="B16" s="2" t="s">
        <v>3</v>
      </c>
      <c r="C16" s="13" t="s">
        <v>138</v>
      </c>
    </row>
    <row r="17" spans="1:5" x14ac:dyDescent="0.3">
      <c r="A17" t="s">
        <v>6</v>
      </c>
      <c r="B17" s="2">
        <v>11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0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0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 t="s">
        <v>96</v>
      </c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_xlfn.SWITCH(B29,"vbump",_xlfn.SWITCH(TRUE,experiment0781518[[#This Row],[Value]]="",MiscData!U15,experiment0781518[[#This Row],[Value]]&gt;MiscData!N3,MiscData!U4,experiment0781518[[#This Row],[Value]]&lt;MiscData!O3,MiscData!U5,MiscData!U3),"fixed",_xlfn.SWITCH(TRUE,experiment0781518[[#This Row],[Value]]="",MiscData!U15,experiment0781518[[#This Row],[Value]]&gt;MiscData!N7,MiscData!U4,experiment0781518[[#This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_xlfn.SWITCH(B29,"vbump",_xlfn.SWITCH(TRUE,experiment0781518[[#This Row],[Value]]="",MiscData!U15,experiment0781518[[#This Row],[Value]]&gt;MiscData!N4,MiscData!U4,experiment0781518[[#This Row],[Value]]&lt;MiscData!O4,MiscData!U5,MiscData!U3),"fixed",_xlfn.SWITCH(TRUE,experiment0781518[[#This Row],[Value]]="",MiscData!U15,experiment0781518[[#This Row],[Value]]&gt;MiscData!N8,MiscData!U4,experiment0781518[[#This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_xlfn.SWITCH(TRUE,experiment0781518[[#This Row],[Value]]="",MiscData!U15,experiment0781518[[#This Row],[Value]]&gt;MiscData!Q3,MiscData!U4,experiment0781518[[#This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_xlfn.SWITCH(TRUE,experiment0781518[[#This Row],[Value]]="",MiscData!U15,experiment0781518[[#This Row],[Value]]&gt;MiscData!Q4,MiscData!U4,experiment0781518[[#This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Not used</v>
      </c>
    </row>
    <row r="35" spans="1:5" x14ac:dyDescent="0.3">
      <c r="A35" s="5" t="s">
        <v>32</v>
      </c>
      <c r="B35" s="2" t="s">
        <v>33</v>
      </c>
      <c r="C35" s="21" t="str" cm="1">
        <f t="array" ref="C35">_xlfn.SWITCH($B$6,"Sweep",MiscData!U7,MiscData!$U$14)</f>
        <v>Select Type: Frequency or Voltage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Select domain: IA or CFC</v>
      </c>
    </row>
    <row r="37" spans="1:5" x14ac:dyDescent="0.3">
      <c r="A37" s="5" t="s">
        <v>36</v>
      </c>
      <c r="B37" s="2">
        <v>36</v>
      </c>
      <c r="C37" s="21" t="str" cm="1">
        <f t="array" ref="C37">_xlfn.SWITCH($B$6,"Sweep",MiscData!U9,MiscData!$U$14)</f>
        <v>Start point of Sweep. Consider above limits for CFC / IA</v>
      </c>
    </row>
    <row r="38" spans="1:5" x14ac:dyDescent="0.3">
      <c r="A38" s="5" t="s">
        <v>37</v>
      </c>
      <c r="B38" s="2">
        <v>40</v>
      </c>
      <c r="C38" s="21" t="str" cm="1">
        <f t="array" ref="C38">_xlfn.SWITCH($B$6,"Sweep",MiscData!U10,MiscData!$U$14)</f>
        <v>End point of Sweep. Consider above limits for CFC / IA</v>
      </c>
    </row>
    <row r="39" spans="1:5" x14ac:dyDescent="0.3">
      <c r="A39" s="5" t="s">
        <v>38</v>
      </c>
      <c r="B39" s="2">
        <v>4</v>
      </c>
      <c r="C39" s="21" t="str" cm="1">
        <f t="array" ref="C39">_xlfn.SWITCH($B$6,"Sweep",MiscData!U11,MiscData!$U$14)</f>
        <v>Size of each step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/>
      <c r="C46" s="37" t="s">
        <v>157</v>
      </c>
      <c r="D46" s="46"/>
    </row>
    <row r="47" spans="1:5" x14ac:dyDescent="0.3">
      <c r="A47" s="33" t="s">
        <v>151</v>
      </c>
      <c r="B47" s="34"/>
      <c r="C47" s="37" t="s">
        <v>158</v>
      </c>
      <c r="D47" s="46"/>
    </row>
    <row r="48" spans="1:5" x14ac:dyDescent="0.3">
      <c r="A48" s="33" t="s">
        <v>152</v>
      </c>
      <c r="B48" s="34"/>
      <c r="C48" s="37" t="s">
        <v>159</v>
      </c>
      <c r="D48" s="46"/>
    </row>
    <row r="49" spans="1:4" x14ac:dyDescent="0.3">
      <c r="A49" s="33" t="s">
        <v>153</v>
      </c>
      <c r="B49" s="34"/>
      <c r="C49" s="37" t="s">
        <v>194</v>
      </c>
      <c r="D49" s="46"/>
    </row>
    <row r="50" spans="1:4" ht="15" thickBot="1" x14ac:dyDescent="0.35">
      <c r="A50" s="33" t="s">
        <v>154</v>
      </c>
      <c r="B50" s="34"/>
      <c r="C50" s="37" t="s">
        <v>160</v>
      </c>
      <c r="D50" s="47"/>
    </row>
    <row r="51" spans="1:4" ht="14.4" customHeight="1" x14ac:dyDescent="0.3">
      <c r="A51" s="26" t="s">
        <v>161</v>
      </c>
      <c r="B51" s="27"/>
      <c r="C51" s="38" t="s">
        <v>176</v>
      </c>
      <c r="D51" s="48" t="s">
        <v>3</v>
      </c>
    </row>
    <row r="52" spans="1:4" x14ac:dyDescent="0.3">
      <c r="A52" s="28" t="s">
        <v>162</v>
      </c>
      <c r="B52" s="29"/>
      <c r="C52" s="39" t="s">
        <v>177</v>
      </c>
      <c r="D52" s="49"/>
    </row>
    <row r="53" spans="1:4" x14ac:dyDescent="0.3">
      <c r="A53" s="28" t="s">
        <v>163</v>
      </c>
      <c r="B53" s="29" t="s">
        <v>184</v>
      </c>
      <c r="C53" s="39" t="s">
        <v>178</v>
      </c>
      <c r="D53" s="49"/>
    </row>
    <row r="54" spans="1:4" x14ac:dyDescent="0.3">
      <c r="A54" s="28" t="s">
        <v>164</v>
      </c>
      <c r="B54" s="29" t="s">
        <v>183</v>
      </c>
      <c r="C54" s="39" t="s">
        <v>179</v>
      </c>
      <c r="D54" s="49"/>
    </row>
    <row r="55" spans="1:4" x14ac:dyDescent="0.3">
      <c r="A55" s="28" t="s">
        <v>165</v>
      </c>
      <c r="B55" s="29" t="s">
        <v>182</v>
      </c>
      <c r="C55" s="39" t="s">
        <v>180</v>
      </c>
      <c r="D55" s="49"/>
    </row>
    <row r="56" spans="1:4" x14ac:dyDescent="0.3">
      <c r="A56" s="28" t="s">
        <v>166</v>
      </c>
      <c r="B56" s="29" t="s">
        <v>130</v>
      </c>
      <c r="C56" s="39" t="s">
        <v>181</v>
      </c>
      <c r="D56" s="49"/>
    </row>
    <row r="57" spans="1:4" x14ac:dyDescent="0.3">
      <c r="A57" s="28" t="s">
        <v>167</v>
      </c>
      <c r="B57" s="29" t="s">
        <v>185</v>
      </c>
      <c r="C57" s="39" t="s">
        <v>200</v>
      </c>
      <c r="D57" s="49"/>
    </row>
    <row r="58" spans="1:4" x14ac:dyDescent="0.3">
      <c r="A58" s="28" t="s">
        <v>168</v>
      </c>
      <c r="B58" s="29">
        <v>80064000</v>
      </c>
      <c r="C58" s="39" t="s">
        <v>201</v>
      </c>
      <c r="D58" s="49"/>
    </row>
    <row r="59" spans="1:4" x14ac:dyDescent="0.3">
      <c r="A59" s="28" t="s">
        <v>169</v>
      </c>
      <c r="B59" s="29" t="s">
        <v>186</v>
      </c>
      <c r="C59" s="39" t="s">
        <v>202</v>
      </c>
      <c r="D59" s="49"/>
    </row>
    <row r="60" spans="1:4" x14ac:dyDescent="0.3">
      <c r="A60" s="28" t="s">
        <v>170</v>
      </c>
      <c r="B60" s="29" t="s">
        <v>204</v>
      </c>
      <c r="C60" s="39" t="s">
        <v>203</v>
      </c>
      <c r="D60" s="49"/>
    </row>
    <row r="61" spans="1:4" x14ac:dyDescent="0.3">
      <c r="A61" s="28" t="s">
        <v>171</v>
      </c>
      <c r="B61" s="29"/>
      <c r="C61" s="39" t="s">
        <v>192</v>
      </c>
      <c r="D61" s="49"/>
    </row>
    <row r="62" spans="1:4" x14ac:dyDescent="0.3">
      <c r="A62" s="28" t="s">
        <v>187</v>
      </c>
      <c r="B62" s="29" t="s">
        <v>230</v>
      </c>
      <c r="C62" s="39" t="s">
        <v>193</v>
      </c>
      <c r="D62" s="49"/>
    </row>
    <row r="63" spans="1:4" x14ac:dyDescent="0.3">
      <c r="A63" s="28" t="s">
        <v>172</v>
      </c>
      <c r="B63" s="29"/>
      <c r="C63" s="39" t="s">
        <v>195</v>
      </c>
      <c r="D63" s="49"/>
    </row>
    <row r="64" spans="1:4" x14ac:dyDescent="0.3">
      <c r="A64" s="28" t="s">
        <v>175</v>
      </c>
      <c r="B64" s="29" t="b">
        <v>1</v>
      </c>
      <c r="C64" s="39" t="s">
        <v>196</v>
      </c>
      <c r="D64" s="49"/>
    </row>
    <row r="65" spans="1:4" x14ac:dyDescent="0.3">
      <c r="A65" s="28" t="s">
        <v>189</v>
      </c>
      <c r="B65" s="29" t="s">
        <v>188</v>
      </c>
      <c r="C65" s="39" t="s">
        <v>197</v>
      </c>
      <c r="D65" s="49"/>
    </row>
    <row r="66" spans="1:4" x14ac:dyDescent="0.3">
      <c r="A66" s="28" t="s">
        <v>174</v>
      </c>
      <c r="B66" s="29" t="s">
        <v>190</v>
      </c>
      <c r="C66" s="39" t="s">
        <v>199</v>
      </c>
      <c r="D66" s="49"/>
    </row>
    <row r="67" spans="1:4" ht="15" thickBot="1" x14ac:dyDescent="0.35">
      <c r="A67" s="30" t="s">
        <v>173</v>
      </c>
      <c r="B67" s="31" t="s">
        <v>191</v>
      </c>
      <c r="C67" s="40" t="s">
        <v>198</v>
      </c>
      <c r="D67" s="50"/>
    </row>
  </sheetData>
  <mergeCells count="5">
    <mergeCell ref="A1:B1"/>
    <mergeCell ref="C1:C2"/>
    <mergeCell ref="D28:E28"/>
    <mergeCell ref="D42:D50"/>
    <mergeCell ref="D51:D67"/>
  </mergeCells>
  <conditionalFormatting sqref="A11:A13 C11:C13">
    <cfRule type="expression" dxfId="229" priority="3">
      <formula>$B$3="Disabled"</formula>
    </cfRule>
  </conditionalFormatting>
  <conditionalFormatting sqref="A4:C6 A7 C7 A8:C9 A10 C10">
    <cfRule type="expression" dxfId="228" priority="8">
      <formula>$B$3="Disabled"</formula>
    </cfRule>
  </conditionalFormatting>
  <conditionalFormatting sqref="A14:C67">
    <cfRule type="expression" dxfId="227" priority="4">
      <formula>$B$3="Disabled"</formula>
    </cfRule>
  </conditionalFormatting>
  <conditionalFormatting sqref="A24:C24">
    <cfRule type="expression" dxfId="225" priority="11">
      <formula>$B$5="Slice"</formula>
    </cfRule>
  </conditionalFormatting>
  <conditionalFormatting sqref="A42:C50">
    <cfRule type="expression" dxfId="221" priority="5">
      <formula>$B$16&lt;&gt;"Linux"</formula>
    </cfRule>
  </conditionalFormatting>
  <conditionalFormatting sqref="A51:C67">
    <cfRule type="expression" dxfId="220" priority="7">
      <formula>$B$16&lt;&gt;"Dragon"</formula>
    </cfRule>
  </conditionalFormatting>
  <conditionalFormatting sqref="B11:B13">
    <cfRule type="expression" dxfId="219" priority="2">
      <formula>$B$3="Disabled"</formula>
    </cfRule>
  </conditionalFormatting>
  <conditionalFormatting sqref="C42:C60">
    <cfRule type="expression" dxfId="218" priority="6">
      <formula>$B$3="Disabled"</formula>
    </cfRule>
  </conditionalFormatting>
  <conditionalFormatting sqref="B10">
    <cfRule type="expression" dxfId="217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" id="{35392397-7A30-4380-9FAC-0692192EE9DE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2" id="{BFD7F94E-D83F-4D61-9E22-B0BE1616EA25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9" id="{B822D736-D9FA-40DD-B266-409787F823E9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3" id="{68313EBA-6C98-4F82-A6B0-CFCDF598ABCF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EC5D50E8-8690-4CBE-BFC3-1E9A36AA6AE8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AD881D94-7E40-44CA-A274-87F29C9FA85C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18130781-2B24-44C0-AF23-30A6F47625F8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C0638EAA-D491-4C16-B250-CC03397D6047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6C9FE557-A0CB-45AD-AEB6-B0591C8BDDFA}">
          <x14:formula1>
            <xm:f>MiscData!$B$3:$B$4</xm:f>
          </x14:formula1>
          <xm:sqref>B19:B24</xm:sqref>
        </x14:dataValidation>
        <x14:dataValidation type="list" allowBlank="1" showInputMessage="1" showErrorMessage="1" xr:uid="{7E88F66F-BB3A-4D73-95B8-4D96645E7996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3015873A-C436-4B49-BBA0-25E99311C21C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473BB085-C1E4-494C-860D-0CF04B85BBEE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8F7EF4CD-C804-4F85-9BE7-F24784F6B276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6639A97F-ADD9-44F3-83C2-FD361BDC142C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6E75E7B7-47E4-41C8-B5DE-02C4A2D6DC78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85273-D663-4B1D-B60E-BAFA110836FC}">
  <sheetPr>
    <tabColor theme="3" tint="0.89999084444715716"/>
  </sheetPr>
  <dimension ref="A1:E68"/>
  <sheetViews>
    <sheetView topLeftCell="A27" workbookViewId="0">
      <selection activeCell="B46" sqref="B46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232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_xlfn.SWITCH(B29,"vbump",_xlfn.SWITCH(TRUE,experiment013[[#This Row],[Value]]="",MiscData!U15,experiment013[[#This Row],[Value]]&gt;MiscData!N3,MiscData!U4,experiment013[[#This Row],[Value]]&lt;MiscData!O3,MiscData!U5,MiscData!U3),"fixed",_xlfn.SWITCH(TRUE,experiment013[[#This Row],[Value]]="",MiscData!U15,experiment013[[#This Row],[Value]]&gt;MiscData!N7,MiscData!U4,experiment013[[#This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_xlfn.SWITCH(B29,"vbump",_xlfn.SWITCH(TRUE,experiment013[[#This Row],[Value]]="",MiscData!U15,experiment013[[#This Row],[Value]]&gt;MiscData!N4,MiscData!U4,experiment013[[#This Row],[Value]]&lt;MiscData!O4,MiscData!U5,MiscData!U3),"fixed",_xlfn.SWITCH(TRUE,experiment013[[#This Row],[Value]]="",MiscData!U15,experiment013[[#This Row],[Value]]&gt;MiscData!N8,MiscData!U4,experiment013[[#This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_xlfn.SWITCH(TRUE,experiment013[[#This Row],[Value]]="",MiscData!U15,experiment013[[#This Row],[Value]]&gt;MiscData!Q3,MiscData!U4,experiment013[[#This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_xlfn.SWITCH(TRUE,experiment013[[#This Row],[Value]]="",MiscData!U15,experiment013[[#This Row],[Value]]&gt;MiscData!Q4,MiscData!U4,experiment013[[#This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233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216" priority="11">
      <formula>$B$3="Disabled"</formula>
    </cfRule>
  </conditionalFormatting>
  <conditionalFormatting sqref="A47:A51 C47:C51">
    <cfRule type="expression" dxfId="215" priority="13">
      <formula>$B$16&lt;&gt;"Linux"</formula>
    </cfRule>
  </conditionalFormatting>
  <conditionalFormatting sqref="A4:C6 A7 C7 A8:C10">
    <cfRule type="expression" dxfId="214" priority="15">
      <formula>$B$3="Disabled"</formula>
    </cfRule>
  </conditionalFormatting>
  <conditionalFormatting sqref="A16:C46">
    <cfRule type="expression" dxfId="213" priority="2">
      <formula>$B$3="Disabled"</formula>
    </cfRule>
  </conditionalFormatting>
  <conditionalFormatting sqref="A24:C24">
    <cfRule type="expression" dxfId="211" priority="18">
      <formula>$B$5="Slice"</formula>
    </cfRule>
  </conditionalFormatting>
  <conditionalFormatting sqref="A42:C46">
    <cfRule type="expression" dxfId="207" priority="3">
      <formula>$B$16&lt;&gt;"Linux"</formula>
    </cfRule>
  </conditionalFormatting>
  <conditionalFormatting sqref="A52:C68">
    <cfRule type="expression" dxfId="206" priority="12">
      <formula>$B$16&lt;&gt;"Dragon"</formula>
    </cfRule>
  </conditionalFormatting>
  <conditionalFormatting sqref="B11:B15">
    <cfRule type="expression" dxfId="205" priority="1">
      <formula>$B$3="Disabled"</formula>
    </cfRule>
  </conditionalFormatting>
  <conditionalFormatting sqref="B47:B51">
    <cfRule type="expression" dxfId="204" priority="6">
      <formula>$B$3="Disabled"</formula>
    </cfRule>
    <cfRule type="expression" dxfId="203" priority="7">
      <formula>$B$16&lt;&gt;"Linux"</formula>
    </cfRule>
  </conditionalFormatting>
  <conditionalFormatting sqref="C42:C61">
    <cfRule type="expression" dxfId="202" priority="4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7" id="{9AD446F4-AE46-490D-BA24-697EADC323A6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9" id="{994EE3D6-161A-4484-B03A-8426A4569E78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6" id="{865AB660-E816-4C8F-8074-D4C4C7D70648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20" id="{4CA61DD6-DF0E-47D0-AEA6-FF61C1807FA0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84E5B47B-36C6-4986-A0D3-BDA61336C64D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4A65F838-0611-4081-B2CB-51318B8F8B44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C0AF166C-8E31-4A71-9D65-AA7EEAEE2A58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18B6ED95-4D7D-42B8-87E2-9164E34CB9FF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283979FF-8C86-47A1-8A04-E53B7F3E1450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592FC800-A226-4EA8-8937-DBCDFF153709}">
          <x14:formula1>
            <xm:f>MiscData!$B$3:$B$4</xm:f>
          </x14:formula1>
          <xm:sqref>B19:B24</xm:sqref>
        </x14:dataValidation>
        <x14:dataValidation type="list" allowBlank="1" showInputMessage="1" showErrorMessage="1" xr:uid="{DC1E0A00-C0FC-4C24-9FA8-2636304FF765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88343DB6-1CD2-4EED-8AAD-59C17DF092EF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A13F45FE-3071-4F80-AC74-A611733008DE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F7481E43-9B13-4102-B44F-556EFB549D53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D55C8837-89FE-4D33-8B28-84863F4E9755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06A7F-0802-45C5-946C-2E7A134CFFEE}">
  <sheetPr>
    <tabColor theme="3" tint="0.89999084444715716"/>
  </sheetPr>
  <dimension ref="A1:E68"/>
  <sheetViews>
    <sheetView topLeftCell="A22" workbookViewId="0">
      <selection activeCell="B5" sqref="B5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_xlfn.SWITCH(experiment0139[[#This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234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_xlfn.SWITCH(B29,"vbump",_xlfn.SWITCH(TRUE,experiment0139[[#This Row],[Value]]="",MiscData!U15,experiment0139[[#This Row],[Value]]&gt;MiscData!N3,MiscData!U4,experiment0139[[#This Row],[Value]]&lt;MiscData!O3,MiscData!U5,MiscData!U3),"fixed",_xlfn.SWITCH(TRUE,experiment0139[[#This Row],[Value]]="",MiscData!U15,experiment0139[[#This Row],[Value]]&gt;MiscData!N7,MiscData!U4,experiment0139[[#This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_xlfn.SWITCH(B29,"vbump",_xlfn.SWITCH(TRUE,experiment0139[[#This Row],[Value]]="",MiscData!U15,experiment0139[[#This Row],[Value]]&gt;MiscData!N4,MiscData!U4,experiment0139[[#This Row],[Value]]&lt;MiscData!O4,MiscData!U5,MiscData!U3),"fixed",_xlfn.SWITCH(TRUE,experiment0139[[#This Row],[Value]]="",MiscData!U15,experiment0139[[#This Row],[Value]]&gt;MiscData!N8,MiscData!U4,experiment0139[[#This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_xlfn.SWITCH(TRUE,experiment0139[[#This Row],[Value]]="",MiscData!U15,experiment0139[[#This Row],[Value]]&gt;MiscData!Q3,MiscData!U4,experiment0139[[#This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_xlfn.SWITCH(TRUE,experiment0139[[#This Row],[Value]]="",MiscData!U15,experiment0139[[#This Row],[Value]]&gt;MiscData!Q4,MiscData!U4,experiment0139[[#This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236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201" priority="7">
      <formula>$B$3="Disabled"</formula>
    </cfRule>
  </conditionalFormatting>
  <conditionalFormatting sqref="A47:A51 C47:C51">
    <cfRule type="expression" dxfId="200" priority="9">
      <formula>$B$16&lt;&gt;"Linux"</formula>
    </cfRule>
  </conditionalFormatting>
  <conditionalFormatting sqref="A4:C6 A7 C7 A8:C10">
    <cfRule type="expression" dxfId="199" priority="10">
      <formula>$B$3="Disabled"</formula>
    </cfRule>
  </conditionalFormatting>
  <conditionalFormatting sqref="A16:C46">
    <cfRule type="expression" dxfId="198" priority="2">
      <formula>$B$3="Disabled"</formula>
    </cfRule>
  </conditionalFormatting>
  <conditionalFormatting sqref="A24:C24">
    <cfRule type="expression" dxfId="196" priority="13">
      <formula>$B$5="Slice"</formula>
    </cfRule>
  </conditionalFormatting>
  <conditionalFormatting sqref="A42:C46">
    <cfRule type="expression" dxfId="192" priority="3">
      <formula>$B$16&lt;&gt;"Linux"</formula>
    </cfRule>
  </conditionalFormatting>
  <conditionalFormatting sqref="A52:C68">
    <cfRule type="expression" dxfId="191" priority="8">
      <formula>$B$16&lt;&gt;"Dragon"</formula>
    </cfRule>
  </conditionalFormatting>
  <conditionalFormatting sqref="B11:B15">
    <cfRule type="expression" dxfId="190" priority="1">
      <formula>$B$3="Disabled"</formula>
    </cfRule>
  </conditionalFormatting>
  <conditionalFormatting sqref="B47:B51">
    <cfRule type="expression" dxfId="189" priority="5">
      <formula>$B$3="Disabled"</formula>
    </cfRule>
    <cfRule type="expression" dxfId="188" priority="6">
      <formula>$B$16&lt;&gt;"Linux"</formula>
    </cfRule>
  </conditionalFormatting>
  <conditionalFormatting sqref="C42:C61">
    <cfRule type="expression" dxfId="187" priority="4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ADCADDF5-7BED-4458-B7E6-DA77604127DE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4" id="{E2C5BE71-B3CD-4BD7-B347-B52BFE5CC91C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1" id="{9229334D-A6EA-4B79-9CD5-41F5903C555F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5" id="{5DD34C78-78A4-4EC3-A311-3F08CA93E683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F77BD9B6-CC8D-4D16-AA97-CA6994B625B3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5A078CE5-3FE4-4733-8CEC-F619D9D3B29A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50C6B223-A825-4C80-B226-3D364F91616C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415FF0B8-9117-43E8-8B57-F21C74AE000D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70B75E4A-EA58-455C-B7E9-AC9C845B403F}">
          <x14:formula1>
            <xm:f>MiscData!$B$3:$B$4</xm:f>
          </x14:formula1>
          <xm:sqref>B19:B24</xm:sqref>
        </x14:dataValidation>
        <x14:dataValidation type="list" allowBlank="1" showInputMessage="1" showErrorMessage="1" xr:uid="{9E6A0657-C7BF-4E89-8787-2A56A0DBFBC2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416C4E93-BA10-4571-83FA-3A1E794A641F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50D680B0-FBAE-4BF5-906C-74F7F5A9D6BD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53D58AE9-7F51-4944-88B0-A4BD6C760612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B50DF675-3057-4D0E-8DB5-D042BFC4E107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22AD5C07-D2CE-48CF-BE97-CE195F9DF33C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1976-6D73-4A90-BB4B-8030FA6F6C31}">
  <sheetPr>
    <tabColor theme="3" tint="0.89999084444715716"/>
  </sheetPr>
  <dimension ref="A1:E68"/>
  <sheetViews>
    <sheetView topLeftCell="A19" workbookViewId="0">
      <selection activeCell="B5" sqref="B5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_xlfn.SWITCH(experiment013910[[#This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238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_xlfn.SWITCH(B29,"vbump",_xlfn.SWITCH(TRUE,experiment013910[[#This Row],[Value]]="",MiscData!U15,experiment013910[[#This Row],[Value]]&gt;MiscData!N3,MiscData!U4,experiment013910[[#This Row],[Value]]&lt;MiscData!O3,MiscData!U5,MiscData!U3),"fixed",_xlfn.SWITCH(TRUE,experiment013910[[#This Row],[Value]]="",MiscData!U15,experiment013910[[#This Row],[Value]]&gt;MiscData!N7,MiscData!U4,experiment013910[[#This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_xlfn.SWITCH(B29,"vbump",_xlfn.SWITCH(TRUE,experiment013910[[#This Row],[Value]]="",MiscData!U15,experiment013910[[#This Row],[Value]]&gt;MiscData!N4,MiscData!U4,experiment013910[[#This Row],[Value]]&lt;MiscData!O4,MiscData!U5,MiscData!U3),"fixed",_xlfn.SWITCH(TRUE,experiment013910[[#This Row],[Value]]="",MiscData!U15,experiment013910[[#This Row],[Value]]&gt;MiscData!N8,MiscData!U4,experiment013910[[#This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_xlfn.SWITCH(TRUE,experiment013910[[#This Row],[Value]]="",MiscData!U15,experiment013910[[#This Row],[Value]]&gt;MiscData!Q3,MiscData!U4,experiment013910[[#This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_xlfn.SWITCH(TRUE,experiment013910[[#This Row],[Value]]="",MiscData!U15,experiment013910[[#This Row],[Value]]&gt;MiscData!Q4,MiscData!U4,experiment013910[[#This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235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186" priority="7">
      <formula>$B$3="Disabled"</formula>
    </cfRule>
  </conditionalFormatting>
  <conditionalFormatting sqref="A47:A51 C47:C51">
    <cfRule type="expression" dxfId="185" priority="9">
      <formula>$B$16&lt;&gt;"Linux"</formula>
    </cfRule>
  </conditionalFormatting>
  <conditionalFormatting sqref="A4:C6 A7 C7 A8:C10">
    <cfRule type="expression" dxfId="184" priority="10">
      <formula>$B$3="Disabled"</formula>
    </cfRule>
  </conditionalFormatting>
  <conditionalFormatting sqref="A16:C46">
    <cfRule type="expression" dxfId="183" priority="2">
      <formula>$B$3="Disabled"</formula>
    </cfRule>
  </conditionalFormatting>
  <conditionalFormatting sqref="A24:C24">
    <cfRule type="expression" dxfId="181" priority="13">
      <formula>$B$5="Slice"</formula>
    </cfRule>
  </conditionalFormatting>
  <conditionalFormatting sqref="A42:C46">
    <cfRule type="expression" dxfId="177" priority="3">
      <formula>$B$16&lt;&gt;"Linux"</formula>
    </cfRule>
  </conditionalFormatting>
  <conditionalFormatting sqref="A52:C68">
    <cfRule type="expression" dxfId="176" priority="8">
      <formula>$B$16&lt;&gt;"Dragon"</formula>
    </cfRule>
  </conditionalFormatting>
  <conditionalFormatting sqref="B11:B15">
    <cfRule type="expression" dxfId="175" priority="1">
      <formula>$B$3="Disabled"</formula>
    </cfRule>
  </conditionalFormatting>
  <conditionalFormatting sqref="B47:B51">
    <cfRule type="expression" dxfId="174" priority="5">
      <formula>$B$3="Disabled"</formula>
    </cfRule>
    <cfRule type="expression" dxfId="173" priority="6">
      <formula>$B$16&lt;&gt;"Linux"</formula>
    </cfRule>
  </conditionalFormatting>
  <conditionalFormatting sqref="C42:C61">
    <cfRule type="expression" dxfId="172" priority="4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CBFCF55E-588D-4D68-A1F2-793D141C5049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4" id="{E33B1C04-79F0-4DFB-983E-7AF472B7F6B1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1" id="{25A50914-5602-4E06-AEBB-61AC0FA7E15E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5" id="{B068B37E-6740-4695-9957-380B9A1C45CB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3AF52B2D-AA03-433D-8337-721614F0EC83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B98FD35B-5BA6-414C-96C5-BB5E0D5904D6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80487C87-6C13-443F-92F1-A52378A49A5F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A8C62F54-3865-4E98-902E-9EAD1A7BFBBF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6EE005EA-2DE7-41BB-A6F2-825E7FCFE0DC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BADF8DAC-C5FD-4B41-B959-88EFF587EC4A}">
          <x14:formula1>
            <xm:f>MiscData!$B$3:$B$4</xm:f>
          </x14:formula1>
          <xm:sqref>B19:B24</xm:sqref>
        </x14:dataValidation>
        <x14:dataValidation type="list" allowBlank="1" showInputMessage="1" showErrorMessage="1" xr:uid="{F10CDEB4-31F9-4823-8F71-83362A5E8819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9E496C5C-8B65-4DE8-B614-B1868EFBA400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36DFD75B-E126-4363-9632-DFBE1D43E627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8A3A710D-B26E-4BDA-80C3-3FB947F5882E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6F236F6A-E562-48DE-8885-94638F136C53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ED2C-E228-4BC8-BD50-5CA6CAD68975}">
  <sheetPr>
    <tabColor theme="3" tint="0.89999084444715716"/>
  </sheetPr>
  <dimension ref="A1:E68"/>
  <sheetViews>
    <sheetView topLeftCell="A22" workbookViewId="0">
      <selection activeCell="B50" sqref="B50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_xlfn.SWITCH(experiment01391011[[#This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237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_xlfn.SWITCH(B29,"vbump",_xlfn.SWITCH(TRUE,experiment01391011[[#This Row],[Value]]="",MiscData!U15,experiment01391011[[#This Row],[Value]]&gt;MiscData!N3,MiscData!U4,experiment01391011[[#This Row],[Value]]&lt;MiscData!O3,MiscData!U5,MiscData!U3),"fixed",_xlfn.SWITCH(TRUE,experiment01391011[[#This Row],[Value]]="",MiscData!U15,experiment01391011[[#This Row],[Value]]&gt;MiscData!N7,MiscData!U4,experiment01391011[[#This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_xlfn.SWITCH(B29,"vbump",_xlfn.SWITCH(TRUE,experiment01391011[[#This Row],[Value]]="",MiscData!U15,experiment01391011[[#This Row],[Value]]&gt;MiscData!N4,MiscData!U4,experiment01391011[[#This Row],[Value]]&lt;MiscData!O4,MiscData!U5,MiscData!U3),"fixed",_xlfn.SWITCH(TRUE,experiment01391011[[#This Row],[Value]]="",MiscData!U15,experiment01391011[[#This Row],[Value]]&gt;MiscData!N8,MiscData!U4,experiment01391011[[#This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_xlfn.SWITCH(TRUE,experiment01391011[[#This Row],[Value]]="",MiscData!U15,experiment01391011[[#This Row],[Value]]&gt;MiscData!Q3,MiscData!U4,experiment01391011[[#This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_xlfn.SWITCH(TRUE,experiment01391011[[#This Row],[Value]]="",MiscData!U15,experiment01391011[[#This Row],[Value]]&gt;MiscData!Q4,MiscData!U4,experiment01391011[[#This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263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171" priority="7">
      <formula>$B$3="Disabled"</formula>
    </cfRule>
  </conditionalFormatting>
  <conditionalFormatting sqref="A47:A51 C47:C51">
    <cfRule type="expression" dxfId="170" priority="9">
      <formula>$B$16&lt;&gt;"Linux"</formula>
    </cfRule>
  </conditionalFormatting>
  <conditionalFormatting sqref="A4:C6 A7 C7 A8:C10">
    <cfRule type="expression" dxfId="169" priority="10">
      <formula>$B$3="Disabled"</formula>
    </cfRule>
  </conditionalFormatting>
  <conditionalFormatting sqref="A16:C46">
    <cfRule type="expression" dxfId="168" priority="2">
      <formula>$B$3="Disabled"</formula>
    </cfRule>
  </conditionalFormatting>
  <conditionalFormatting sqref="A24:C24">
    <cfRule type="expression" dxfId="166" priority="13">
      <formula>$B$5="Slice"</formula>
    </cfRule>
  </conditionalFormatting>
  <conditionalFormatting sqref="A42:C46">
    <cfRule type="expression" dxfId="162" priority="3">
      <formula>$B$16&lt;&gt;"Linux"</formula>
    </cfRule>
  </conditionalFormatting>
  <conditionalFormatting sqref="A52:C68">
    <cfRule type="expression" dxfId="161" priority="8">
      <formula>$B$16&lt;&gt;"Dragon"</formula>
    </cfRule>
  </conditionalFormatting>
  <conditionalFormatting sqref="B11:B15">
    <cfRule type="expression" dxfId="160" priority="1">
      <formula>$B$3="Disabled"</formula>
    </cfRule>
  </conditionalFormatting>
  <conditionalFormatting sqref="B47:B51">
    <cfRule type="expression" dxfId="159" priority="5">
      <formula>$B$3="Disabled"</formula>
    </cfRule>
    <cfRule type="expression" dxfId="158" priority="6">
      <formula>$B$16&lt;&gt;"Linux"</formula>
    </cfRule>
  </conditionalFormatting>
  <conditionalFormatting sqref="C42:C61">
    <cfRule type="expression" dxfId="157" priority="4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95E38AEB-C998-451A-A687-858A5A2922A7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4" id="{AD754272-72EA-46A9-AF08-F0264DC148C3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1" id="{97CF5404-4309-4884-BD3E-1F42C73F5F8B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5" id="{EE4C5DE4-9772-4635-9932-D20295210493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A6FB1301-71B3-4760-80CE-39ECDC5901AF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16996610-0619-46EF-921A-ACE1231D2E83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9CE2EB36-F2E8-4377-AB88-EE40EB29070C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B56C3520-ACB0-4882-8EE1-8007940D009A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4FF221A8-CA51-4DD9-BB96-3545460B7CF1}">
          <x14:formula1>
            <xm:f>MiscData!$B$3:$B$4</xm:f>
          </x14:formula1>
          <xm:sqref>B19:B24</xm:sqref>
        </x14:dataValidation>
        <x14:dataValidation type="list" allowBlank="1" showInputMessage="1" showErrorMessage="1" xr:uid="{AE879288-1A6D-4DBE-9447-E63D6812A669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8056E362-3A68-4E27-9761-6E9F9E4F10C2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E1678E78-6129-47B7-B398-190C8C996953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545D4290-4438-407F-ADC5-7EB6795F1984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4F075BF8-C9DE-4331-ABEE-E3844FCEF3DB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714DBC46-8A43-47F4-8931-79775E6EC51C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714C-79D8-4E7C-BFDE-71D54F70978C}">
  <sheetPr>
    <tabColor theme="3" tint="0.749992370372631"/>
  </sheetPr>
  <dimension ref="A1:E68"/>
  <sheetViews>
    <sheetView topLeftCell="A22" workbookViewId="0">
      <selection activeCell="B49" sqref="B49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_xlfn.SWITCH(experiment01319[[#This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247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_xlfn.SWITCH(B29,"vbump",_xlfn.SWITCH(TRUE,experiment01319[[#This Row],[Value]]="",MiscData!U15,experiment01319[[#This Row],[Value]]&gt;MiscData!N3,MiscData!U4,experiment01319[[#This Row],[Value]]&lt;MiscData!O3,MiscData!U5,MiscData!U3),"fixed",_xlfn.SWITCH(TRUE,experiment01319[[#This Row],[Value]]="",MiscData!U15,experiment01319[[#This Row],[Value]]&gt;MiscData!N7,MiscData!U4,experiment01319[[#This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_xlfn.SWITCH(B29,"vbump",_xlfn.SWITCH(TRUE,experiment01319[[#This Row],[Value]]="",MiscData!U15,experiment01319[[#This Row],[Value]]&gt;MiscData!N4,MiscData!U4,experiment01319[[#This Row],[Value]]&lt;MiscData!O4,MiscData!U5,MiscData!U3),"fixed",_xlfn.SWITCH(TRUE,experiment01319[[#This Row],[Value]]="",MiscData!U15,experiment01319[[#This Row],[Value]]&gt;MiscData!N8,MiscData!U4,experiment01319[[#This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_xlfn.SWITCH(TRUE,experiment01319[[#This Row],[Value]]="",MiscData!U15,experiment01319[[#This Row],[Value]]&gt;MiscData!Q3,MiscData!U4,experiment01319[[#This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_xlfn.SWITCH(TRUE,experiment01319[[#This Row],[Value]]="",MiscData!U15,experiment01319[[#This Row],[Value]]&gt;MiscData!Q4,MiscData!U4,experiment01319[[#This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251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156" priority="7">
      <formula>$B$3="Disabled"</formula>
    </cfRule>
  </conditionalFormatting>
  <conditionalFormatting sqref="A47:A51 C47:C51">
    <cfRule type="expression" dxfId="155" priority="9">
      <formula>$B$16&lt;&gt;"Linux"</formula>
    </cfRule>
  </conditionalFormatting>
  <conditionalFormatting sqref="A4:C6 A7 C7 A8:C10">
    <cfRule type="expression" dxfId="154" priority="10">
      <formula>$B$3="Disabled"</formula>
    </cfRule>
  </conditionalFormatting>
  <conditionalFormatting sqref="A16:C46">
    <cfRule type="expression" dxfId="153" priority="2">
      <formula>$B$3="Disabled"</formula>
    </cfRule>
  </conditionalFormatting>
  <conditionalFormatting sqref="A24:C24">
    <cfRule type="expression" dxfId="151" priority="13">
      <formula>$B$5="Slice"</formula>
    </cfRule>
  </conditionalFormatting>
  <conditionalFormatting sqref="A42:C46">
    <cfRule type="expression" dxfId="147" priority="3">
      <formula>$B$16&lt;&gt;"Linux"</formula>
    </cfRule>
  </conditionalFormatting>
  <conditionalFormatting sqref="A52:C68">
    <cfRule type="expression" dxfId="146" priority="8">
      <formula>$B$16&lt;&gt;"Dragon"</formula>
    </cfRule>
  </conditionalFormatting>
  <conditionalFormatting sqref="B11:B15">
    <cfRule type="expression" dxfId="145" priority="1">
      <formula>$B$3="Disabled"</formula>
    </cfRule>
  </conditionalFormatting>
  <conditionalFormatting sqref="B47:B51">
    <cfRule type="expression" dxfId="144" priority="5">
      <formula>$B$3="Disabled"</formula>
    </cfRule>
    <cfRule type="expression" dxfId="143" priority="6">
      <formula>$B$16&lt;&gt;"Linux"</formula>
    </cfRule>
  </conditionalFormatting>
  <conditionalFormatting sqref="C42:C61">
    <cfRule type="expression" dxfId="142" priority="4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7A601C51-2BCA-4077-B360-D69FE6C43D93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4" id="{8E489ECF-EA5F-4D85-B6D1-C1283136CFF8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1" id="{A24E7D9C-0B0B-4A38-8B52-EC876457A689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5" id="{01081BBB-155D-4ED8-BF97-60707216234D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 xr:uid="{CC82200D-7B05-4D8C-9A3A-EE7E8AC8414E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B5D33953-73A5-4D8E-9D41-6B1C6CDBFD25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E15877B2-0E50-4F11-872A-DCDEBCABE6E8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709863C7-67D3-4B9F-BEA0-9147D6A7CD24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D3FDD0F7-31CB-46BA-9BBC-1740706298EF}">
          <x14:formula1>
            <xm:f>MiscData!$B$3:$B$4</xm:f>
          </x14:formula1>
          <xm:sqref>B19:B24</xm:sqref>
        </x14:dataValidation>
        <x14:dataValidation type="list" allowBlank="1" showInputMessage="1" showErrorMessage="1" xr:uid="{1268D030-A0A9-4015-A9C4-6A4661772123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EF69D4A8-B859-4CFB-BD8A-DA8903F3C3EA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40193C65-A071-4398-B24A-2C597D18B9C5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607012F2-CAEA-44B4-A6F4-7D5F9D000F43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CEA07CAA-4CA9-4FF2-85B4-1FFF166FA10C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F2A954AF-9D73-4918-9F0F-AF7422DE18CB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FC19A-AA3E-4F16-AEDD-C43348ADB390}">
  <sheetPr>
    <tabColor theme="3" tint="0.749992370372631"/>
  </sheetPr>
  <dimension ref="A1:E68"/>
  <sheetViews>
    <sheetView topLeftCell="A19" workbookViewId="0">
      <selection activeCell="B50" sqref="B50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_xlfn.SWITCH(experiment0131920[[#This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250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_xlfn.SWITCH(B29,"vbump",_xlfn.SWITCH(TRUE,experiment0131920[[#This Row],[Value]]="",MiscData!U15,experiment0131920[[#This Row],[Value]]&gt;MiscData!N3,MiscData!U4,experiment0131920[[#This Row],[Value]]&lt;MiscData!O3,MiscData!U5,MiscData!U3),"fixed",_xlfn.SWITCH(TRUE,experiment0131920[[#This Row],[Value]]="",MiscData!U15,experiment0131920[[#This Row],[Value]]&gt;MiscData!N7,MiscData!U4,experiment0131920[[#This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_xlfn.SWITCH(B29,"vbump",_xlfn.SWITCH(TRUE,experiment0131920[[#This Row],[Value]]="",MiscData!U15,experiment0131920[[#This Row],[Value]]&gt;MiscData!N4,MiscData!U4,experiment0131920[[#This Row],[Value]]&lt;MiscData!O4,MiscData!U5,MiscData!U3),"fixed",_xlfn.SWITCH(TRUE,experiment0131920[[#This Row],[Value]]="",MiscData!U15,experiment0131920[[#This Row],[Value]]&gt;MiscData!N8,MiscData!U4,experiment0131920[[#This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_xlfn.SWITCH(TRUE,experiment0131920[[#This Row],[Value]]="",MiscData!U15,experiment0131920[[#This Row],[Value]]&gt;MiscData!Q3,MiscData!U4,experiment0131920[[#This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_xlfn.SWITCH(TRUE,experiment0131920[[#This Row],[Value]]="",MiscData!U15,experiment0131920[[#This Row],[Value]]&gt;MiscData!Q4,MiscData!U4,experiment0131920[[#This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262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141" priority="7">
      <formula>$B$3="Disabled"</formula>
    </cfRule>
  </conditionalFormatting>
  <conditionalFormatting sqref="A47:A51 C47:C51">
    <cfRule type="expression" dxfId="140" priority="9">
      <formula>$B$16&lt;&gt;"Linux"</formula>
    </cfRule>
  </conditionalFormatting>
  <conditionalFormatting sqref="A4:C6 A7 C7 A8:C10">
    <cfRule type="expression" dxfId="139" priority="10">
      <formula>$B$3="Disabled"</formula>
    </cfRule>
  </conditionalFormatting>
  <conditionalFormatting sqref="A16:C46">
    <cfRule type="expression" dxfId="138" priority="2">
      <formula>$B$3="Disabled"</formula>
    </cfRule>
  </conditionalFormatting>
  <conditionalFormatting sqref="A24:C24">
    <cfRule type="expression" dxfId="136" priority="13">
      <formula>$B$5="Slice"</formula>
    </cfRule>
  </conditionalFormatting>
  <conditionalFormatting sqref="A42:C46">
    <cfRule type="expression" dxfId="132" priority="3">
      <formula>$B$16&lt;&gt;"Linux"</formula>
    </cfRule>
  </conditionalFormatting>
  <conditionalFormatting sqref="A52:C68">
    <cfRule type="expression" dxfId="131" priority="8">
      <formula>$B$16&lt;&gt;"Dragon"</formula>
    </cfRule>
  </conditionalFormatting>
  <conditionalFormatting sqref="B11:B15">
    <cfRule type="expression" dxfId="130" priority="1">
      <formula>$B$3="Disabled"</formula>
    </cfRule>
  </conditionalFormatting>
  <conditionalFormatting sqref="B47:B51">
    <cfRule type="expression" dxfId="129" priority="5">
      <formula>$B$3="Disabled"</formula>
    </cfRule>
    <cfRule type="expression" dxfId="128" priority="6">
      <formula>$B$16&lt;&gt;"Linux"</formula>
    </cfRule>
  </conditionalFormatting>
  <conditionalFormatting sqref="C42:C61">
    <cfRule type="expression" dxfId="127" priority="4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B122F467-D805-4FBD-811F-0AC855ABBCCE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4" id="{E3CDE7DC-3163-4A38-924A-19A27E455DA3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1" id="{B8558D16-4C03-4EAA-A818-C1FCCDAF6BC8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5" id="{11A533FE-D0AC-48D4-B6B1-66EA2616BD37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1D14B08A-6EAD-462E-B8BE-74B8DDB1FB4D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D690A78D-F900-41DB-BCE6-2D50CBBF8EC2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1AD44408-7DC7-4CA1-A282-5C4104C32A94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F18FE535-FE8C-41F6-8B08-65A197F1F1EA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DB935CD2-1C25-4823-913A-636D01F69C53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DAFC14BC-CB04-43A2-8DC7-1C69DDCD053E}">
          <x14:formula1>
            <xm:f>MiscData!$B$3:$B$4</xm:f>
          </x14:formula1>
          <xm:sqref>B19:B24</xm:sqref>
        </x14:dataValidation>
        <x14:dataValidation type="list" allowBlank="1" showInputMessage="1" showErrorMessage="1" xr:uid="{23C8C4D7-3F93-4161-9B74-CD79540230D3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5802C793-2851-485C-8E52-A60A21A0BD68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3B0F9B5F-1D2B-4679-BFAD-7D1C69CF9B52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727D6F78-B066-419C-BA2B-6B67D358310C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42D7FC40-5C0A-49CB-9DEE-1802FE8061D2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3DDB-F0C7-47CB-8CA0-D2B088E66021}">
  <sheetPr>
    <tabColor theme="3" tint="0.749992370372631"/>
  </sheetPr>
  <dimension ref="A1:E68"/>
  <sheetViews>
    <sheetView topLeftCell="A16" workbookViewId="0">
      <selection activeCell="B50" sqref="B50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_xlfn.SWITCH(experiment01319202122[[#This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248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_xlfn.SWITCH(B29,"vbump",_xlfn.SWITCH(TRUE,experiment01319202122[[#This Row],[Value]]="",MiscData!U15,experiment01319202122[[#This Row],[Value]]&gt;MiscData!N3,MiscData!U4,experiment01319202122[[#This Row],[Value]]&lt;MiscData!O3,MiscData!U5,MiscData!U3),"fixed",_xlfn.SWITCH(TRUE,experiment01319202122[[#This Row],[Value]]="",MiscData!U15,experiment01319202122[[#This Row],[Value]]&gt;MiscData!N7,MiscData!U4,experiment01319202122[[#This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_xlfn.SWITCH(B29,"vbump",_xlfn.SWITCH(TRUE,experiment01319202122[[#This Row],[Value]]="",MiscData!U15,experiment01319202122[[#This Row],[Value]]&gt;MiscData!N4,MiscData!U4,experiment01319202122[[#This Row],[Value]]&lt;MiscData!O4,MiscData!U5,MiscData!U3),"fixed",_xlfn.SWITCH(TRUE,experiment01319202122[[#This Row],[Value]]="",MiscData!U15,experiment01319202122[[#This Row],[Value]]&gt;MiscData!N8,MiscData!U4,experiment01319202122[[#This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_xlfn.SWITCH(TRUE,experiment01319202122[[#This Row],[Value]]="",MiscData!U15,experiment01319202122[[#This Row],[Value]]&gt;MiscData!Q3,MiscData!U4,experiment01319202122[[#This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_xlfn.SWITCH(TRUE,experiment01319202122[[#This Row],[Value]]="",MiscData!U15,experiment01319202122[[#This Row],[Value]]&gt;MiscData!Q4,MiscData!U4,experiment01319202122[[#This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261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126" priority="7">
      <formula>$B$3="Disabled"</formula>
    </cfRule>
  </conditionalFormatting>
  <conditionalFormatting sqref="A47:A51 C47:C51">
    <cfRule type="expression" dxfId="125" priority="9">
      <formula>$B$16&lt;&gt;"Linux"</formula>
    </cfRule>
  </conditionalFormatting>
  <conditionalFormatting sqref="A4:C6 A7 C7 A8:C10">
    <cfRule type="expression" dxfId="124" priority="10">
      <formula>$B$3="Disabled"</formula>
    </cfRule>
  </conditionalFormatting>
  <conditionalFormatting sqref="A16:C46">
    <cfRule type="expression" dxfId="123" priority="2">
      <formula>$B$3="Disabled"</formula>
    </cfRule>
  </conditionalFormatting>
  <conditionalFormatting sqref="A24:C24">
    <cfRule type="expression" dxfId="121" priority="13">
      <formula>$B$5="Slice"</formula>
    </cfRule>
  </conditionalFormatting>
  <conditionalFormatting sqref="A42:C46">
    <cfRule type="expression" dxfId="117" priority="3">
      <formula>$B$16&lt;&gt;"Linux"</formula>
    </cfRule>
  </conditionalFormatting>
  <conditionalFormatting sqref="A52:C68">
    <cfRule type="expression" dxfId="116" priority="8">
      <formula>$B$16&lt;&gt;"Dragon"</formula>
    </cfRule>
  </conditionalFormatting>
  <conditionalFormatting sqref="B11:B15">
    <cfRule type="expression" dxfId="115" priority="1">
      <formula>$B$3="Disabled"</formula>
    </cfRule>
  </conditionalFormatting>
  <conditionalFormatting sqref="B47:B51">
    <cfRule type="expression" dxfId="114" priority="5">
      <formula>$B$3="Disabled"</formula>
    </cfRule>
    <cfRule type="expression" dxfId="113" priority="6">
      <formula>$B$16&lt;&gt;"Linux"</formula>
    </cfRule>
  </conditionalFormatting>
  <conditionalFormatting sqref="C42:C61">
    <cfRule type="expression" dxfId="112" priority="4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CC174D13-C6BF-4B9A-AD7C-8C8A95A2E2AC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4" id="{94180D34-99A6-4CEB-8A73-C088AD645EAF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1" id="{B6D1B466-3D4B-4A61-9B26-ECC853874144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5" id="{D72F62D3-FFDD-4C93-81D2-B5363DD90BD7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CFC18032-4494-4AC0-B421-070E583145FF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73D45CA2-60BD-43DB-8C71-C7B0052376A4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C3ED3558-9EF7-414A-AC03-F1625E149C16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073FA648-C558-4F54-B620-2E0CB43ABE04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A4D18E42-DFC8-4270-8726-28DE974E3B00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30A5999C-4D9F-4576-BCE9-2E7707401826}">
          <x14:formula1>
            <xm:f>MiscData!$B$3:$B$4</xm:f>
          </x14:formula1>
          <xm:sqref>B19:B24</xm:sqref>
        </x14:dataValidation>
        <x14:dataValidation type="list" allowBlank="1" showInputMessage="1" showErrorMessage="1" xr:uid="{3445EC80-AA5F-4592-B0B7-B6EDB0C89708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DD4191D5-A9D3-4C31-84D0-AA102CFB1693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0D5DD694-0515-4A16-AD29-65485F52D911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6267C400-F699-44A5-8B03-DFF200B08015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FB70B6D6-E062-4B86-B840-0DFE6508B4FA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7146-70AC-42D6-8DA9-BA31C2AD49E4}">
  <sheetPr>
    <tabColor theme="3" tint="0.749992370372631"/>
  </sheetPr>
  <dimension ref="A1:E68"/>
  <sheetViews>
    <sheetView topLeftCell="A19" workbookViewId="0">
      <selection activeCell="B50" sqref="B50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_xlfn.SWITCH(experiment013192021[[#This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249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_xlfn.SWITCH(B29,"vbump",_xlfn.SWITCH(TRUE,experiment013192021[[#This Row],[Value]]="",MiscData!U15,experiment013192021[[#This Row],[Value]]&gt;MiscData!N3,MiscData!U4,experiment013192021[[#This Row],[Value]]&lt;MiscData!O3,MiscData!U5,MiscData!U3),"fixed",_xlfn.SWITCH(TRUE,experiment013192021[[#This Row],[Value]]="",MiscData!U15,experiment013192021[[#This Row],[Value]]&gt;MiscData!N7,MiscData!U4,experiment013192021[[#This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_xlfn.SWITCH(B29,"vbump",_xlfn.SWITCH(TRUE,experiment013192021[[#This Row],[Value]]="",MiscData!U15,experiment013192021[[#This Row],[Value]]&gt;MiscData!N4,MiscData!U4,experiment013192021[[#This Row],[Value]]&lt;MiscData!O4,MiscData!U5,MiscData!U3),"fixed",_xlfn.SWITCH(TRUE,experiment013192021[[#This Row],[Value]]="",MiscData!U15,experiment013192021[[#This Row],[Value]]&gt;MiscData!N8,MiscData!U4,experiment013192021[[#This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_xlfn.SWITCH(TRUE,experiment013192021[[#This Row],[Value]]="",MiscData!U15,experiment013192021[[#This Row],[Value]]&gt;MiscData!Q3,MiscData!U4,experiment013192021[[#This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_xlfn.SWITCH(TRUE,experiment013192021[[#This Row],[Value]]="",MiscData!U15,experiment013192021[[#This Row],[Value]]&gt;MiscData!Q4,MiscData!U4,experiment013192021[[#This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260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111" priority="7">
      <formula>$B$3="Disabled"</formula>
    </cfRule>
  </conditionalFormatting>
  <conditionalFormatting sqref="A47:A51 C47:C51">
    <cfRule type="expression" dxfId="110" priority="9">
      <formula>$B$16&lt;&gt;"Linux"</formula>
    </cfRule>
  </conditionalFormatting>
  <conditionalFormatting sqref="A4:C6 A7 C7 A8:C10">
    <cfRule type="expression" dxfId="109" priority="10">
      <formula>$B$3="Disabled"</formula>
    </cfRule>
  </conditionalFormatting>
  <conditionalFormatting sqref="A16:C46">
    <cfRule type="expression" dxfId="108" priority="2">
      <formula>$B$3="Disabled"</formula>
    </cfRule>
  </conditionalFormatting>
  <conditionalFormatting sqref="A24:C24">
    <cfRule type="expression" dxfId="106" priority="13">
      <formula>$B$5="Slice"</formula>
    </cfRule>
  </conditionalFormatting>
  <conditionalFormatting sqref="A42:C46">
    <cfRule type="expression" dxfId="102" priority="3">
      <formula>$B$16&lt;&gt;"Linux"</formula>
    </cfRule>
  </conditionalFormatting>
  <conditionalFormatting sqref="A52:C68">
    <cfRule type="expression" dxfId="101" priority="8">
      <formula>$B$16&lt;&gt;"Dragon"</formula>
    </cfRule>
  </conditionalFormatting>
  <conditionalFormatting sqref="B11:B15">
    <cfRule type="expression" dxfId="100" priority="1">
      <formula>$B$3="Disabled"</formula>
    </cfRule>
  </conditionalFormatting>
  <conditionalFormatting sqref="B47:B51">
    <cfRule type="expression" dxfId="99" priority="5">
      <formula>$B$3="Disabled"</formula>
    </cfRule>
    <cfRule type="expression" dxfId="98" priority="6">
      <formula>$B$16&lt;&gt;"Linux"</formula>
    </cfRule>
  </conditionalFormatting>
  <conditionalFormatting sqref="C42:C61">
    <cfRule type="expression" dxfId="97" priority="4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8A5776FD-F2D4-4EA6-9DCE-DB70B491232F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4" id="{E73D554A-0AD4-44CE-8FAF-3B7753DBBF02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1" id="{4E919DED-91ED-4278-ABF9-872BF316BC34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5" id="{7F41BAA2-D1C5-4400-AF11-651367C65CB0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BFF91D88-5079-49C7-8621-B48AC2B6AA65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A0FC6C43-8F7E-4EE5-AE27-39C09344EF7E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539C307C-E1AB-41B9-8E5A-76B3DD38EBF0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32CC0ADB-63B4-4C15-B9EF-47B51F515A2A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FDE6C3F6-27F1-4C0E-A124-A20FCD9812F7}">
          <x14:formula1>
            <xm:f>MiscData!$B$3:$B$4</xm:f>
          </x14:formula1>
          <xm:sqref>B19:B24</xm:sqref>
        </x14:dataValidation>
        <x14:dataValidation type="list" allowBlank="1" showInputMessage="1" showErrorMessage="1" xr:uid="{8F474B79-0C5A-4793-BEFD-4243EB4289E2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7F18D2AD-9643-45BC-9B7F-EABFA1CFAD5C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EBEC7C19-5A72-4BEF-B698-CBE7B5925671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6FED2F1D-9C17-407B-849D-03CBA7F9DB28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633F257A-8C03-48B7-A7DA-C1BAD124317F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B7D1A355-90F6-4E5F-BE61-64D75CDC98D5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37BE1-1D0C-4A44-B4D5-BA151D534F2C}">
  <sheetPr>
    <tabColor theme="3" tint="0.499984740745262"/>
  </sheetPr>
  <dimension ref="A1:E68"/>
  <sheetViews>
    <sheetView topLeftCell="A16" workbookViewId="0">
      <selection activeCell="B49" sqref="B49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_xlfn.SWITCH(experiment0131923[[#This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252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_xlfn.SWITCH(B29,"vbump",_xlfn.SWITCH(TRUE,experiment0131923[[#This Row],[Value]]="",MiscData!U15,experiment0131923[[#This Row],[Value]]&gt;MiscData!N3,MiscData!U4,experiment0131923[[#This Row],[Value]]&lt;MiscData!O3,MiscData!U5,MiscData!U3),"fixed",_xlfn.SWITCH(TRUE,experiment0131923[[#This Row],[Value]]="",MiscData!U15,experiment0131923[[#This Row],[Value]]&gt;MiscData!N7,MiscData!U4,experiment0131923[[#This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_xlfn.SWITCH(B29,"vbump",_xlfn.SWITCH(TRUE,experiment0131923[[#This Row],[Value]]="",MiscData!U15,experiment0131923[[#This Row],[Value]]&gt;MiscData!N4,MiscData!U4,experiment0131923[[#This Row],[Value]]&lt;MiscData!O4,MiscData!U5,MiscData!U3),"fixed",_xlfn.SWITCH(TRUE,experiment0131923[[#This Row],[Value]]="",MiscData!U15,experiment0131923[[#This Row],[Value]]&gt;MiscData!N8,MiscData!U4,experiment0131923[[#This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_xlfn.SWITCH(TRUE,experiment0131923[[#This Row],[Value]]="",MiscData!U15,experiment0131923[[#This Row],[Value]]&gt;MiscData!Q3,MiscData!U4,experiment0131923[[#This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_xlfn.SWITCH(TRUE,experiment0131923[[#This Row],[Value]]="",MiscData!U15,experiment0131923[[#This Row],[Value]]&gt;MiscData!Q4,MiscData!U4,experiment0131923[[#This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256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96" priority="7">
      <formula>$B$3="Disabled"</formula>
    </cfRule>
  </conditionalFormatting>
  <conditionalFormatting sqref="A47:A51 C47:C51">
    <cfRule type="expression" dxfId="95" priority="9">
      <formula>$B$16&lt;&gt;"Linux"</formula>
    </cfRule>
  </conditionalFormatting>
  <conditionalFormatting sqref="A4:C6 A7 C7 A8:C10">
    <cfRule type="expression" dxfId="94" priority="10">
      <formula>$B$3="Disabled"</formula>
    </cfRule>
  </conditionalFormatting>
  <conditionalFormatting sqref="A16:C46">
    <cfRule type="expression" dxfId="93" priority="2">
      <formula>$B$3="Disabled"</formula>
    </cfRule>
  </conditionalFormatting>
  <conditionalFormatting sqref="A24:C24">
    <cfRule type="expression" dxfId="91" priority="13">
      <formula>$B$5="Slice"</formula>
    </cfRule>
  </conditionalFormatting>
  <conditionalFormatting sqref="A42:C46">
    <cfRule type="expression" dxfId="87" priority="3">
      <formula>$B$16&lt;&gt;"Linux"</formula>
    </cfRule>
  </conditionalFormatting>
  <conditionalFormatting sqref="A52:C68">
    <cfRule type="expression" dxfId="86" priority="8">
      <formula>$B$16&lt;&gt;"Dragon"</formula>
    </cfRule>
  </conditionalFormatting>
  <conditionalFormatting sqref="B11:B15">
    <cfRule type="expression" dxfId="85" priority="1">
      <formula>$B$3="Disabled"</formula>
    </cfRule>
  </conditionalFormatting>
  <conditionalFormatting sqref="B47:B51">
    <cfRule type="expression" dxfId="84" priority="5">
      <formula>$B$3="Disabled"</formula>
    </cfRule>
    <cfRule type="expression" dxfId="83" priority="6">
      <formula>$B$16&lt;&gt;"Linux"</formula>
    </cfRule>
  </conditionalFormatting>
  <conditionalFormatting sqref="C42:C61">
    <cfRule type="expression" dxfId="82" priority="4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0786BAA3-CDE1-40A5-8963-6FDDE598E42D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4" id="{1DA808E9-6BCF-4069-95DA-EFA9746B0033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1" id="{39A3CF53-BCD3-4D40-BFB3-446ACAAA05F9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5" id="{14E2E9B7-509A-402A-9E00-90FD9AC49A9D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302690F1-2C0B-44B3-AA60-B58EB198DF62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44CDB217-A841-432D-9913-4E09FCA154E0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DA6F03BA-898E-484D-9A55-79C2FC0893A6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EAD145F4-BFE1-4602-83EC-30A1562E2D80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D0F8F134-3B9A-4F71-9103-14AA74566EEB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12113486-452E-4E1E-8594-3DB217602A31}">
          <x14:formula1>
            <xm:f>MiscData!$B$3:$B$4</xm:f>
          </x14:formula1>
          <xm:sqref>B19:B24</xm:sqref>
        </x14:dataValidation>
        <x14:dataValidation type="list" allowBlank="1" showInputMessage="1" showErrorMessage="1" xr:uid="{CB836E46-A418-43D4-B502-87CBA705F928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EDC50452-A3D5-43A8-A030-3C2ADE715D0E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599DE668-E95A-4A38-AD52-52101D9CADD8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935A0D06-6A1C-4193-99FB-FD282D46EE2A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DEAD3049-21E3-45C3-A285-9C41E889037C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2F557-48BF-481A-B1D9-741F25E8D975}">
  <sheetPr>
    <tabColor theme="3" tint="0.499984740745262"/>
  </sheetPr>
  <dimension ref="A1:E68"/>
  <sheetViews>
    <sheetView topLeftCell="A16" workbookViewId="0">
      <selection activeCell="B50" sqref="B50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_xlfn.SWITCH(experiment013192324[[#This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253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_xlfn.SWITCH(B29,"vbump",_xlfn.SWITCH(TRUE,experiment013192324[[#This Row],[Value]]="",MiscData!U15,experiment013192324[[#This Row],[Value]]&gt;MiscData!N3,MiscData!U4,experiment013192324[[#This Row],[Value]]&lt;MiscData!O3,MiscData!U5,MiscData!U3),"fixed",_xlfn.SWITCH(TRUE,experiment013192324[[#This Row],[Value]]="",MiscData!U15,experiment013192324[[#This Row],[Value]]&gt;MiscData!N7,MiscData!U4,experiment013192324[[#This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_xlfn.SWITCH(B29,"vbump",_xlfn.SWITCH(TRUE,experiment013192324[[#This Row],[Value]]="",MiscData!U15,experiment013192324[[#This Row],[Value]]&gt;MiscData!N4,MiscData!U4,experiment013192324[[#This Row],[Value]]&lt;MiscData!O4,MiscData!U5,MiscData!U3),"fixed",_xlfn.SWITCH(TRUE,experiment013192324[[#This Row],[Value]]="",MiscData!U15,experiment013192324[[#This Row],[Value]]&gt;MiscData!N8,MiscData!U4,experiment013192324[[#This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_xlfn.SWITCH(TRUE,experiment013192324[[#This Row],[Value]]="",MiscData!U15,experiment013192324[[#This Row],[Value]]&gt;MiscData!Q3,MiscData!U4,experiment013192324[[#This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_xlfn.SWITCH(TRUE,experiment013192324[[#This Row],[Value]]="",MiscData!U15,experiment013192324[[#This Row],[Value]]&gt;MiscData!Q4,MiscData!U4,experiment013192324[[#This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257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81" priority="8">
      <formula>$B$3="Disabled"</formula>
    </cfRule>
  </conditionalFormatting>
  <conditionalFormatting sqref="A47:A51 C47:C51">
    <cfRule type="expression" dxfId="80" priority="10">
      <formula>$B$16&lt;&gt;"Linux"</formula>
    </cfRule>
  </conditionalFormatting>
  <conditionalFormatting sqref="A5:C6 A7 C7 A8:C10 A4 C4">
    <cfRule type="expression" dxfId="79" priority="11">
      <formula>$B$3="Disabled"</formula>
    </cfRule>
  </conditionalFormatting>
  <conditionalFormatting sqref="A16:C46">
    <cfRule type="expression" dxfId="78" priority="3">
      <formula>$B$3="Disabled"</formula>
    </cfRule>
  </conditionalFormatting>
  <conditionalFormatting sqref="A24:C24">
    <cfRule type="expression" dxfId="76" priority="14">
      <formula>$B$5="Slice"</formula>
    </cfRule>
  </conditionalFormatting>
  <conditionalFormatting sqref="A42:C46">
    <cfRule type="expression" dxfId="72" priority="4">
      <formula>$B$16&lt;&gt;"Linux"</formula>
    </cfRule>
  </conditionalFormatting>
  <conditionalFormatting sqref="A52:C68">
    <cfRule type="expression" dxfId="71" priority="9">
      <formula>$B$16&lt;&gt;"Dragon"</formula>
    </cfRule>
  </conditionalFormatting>
  <conditionalFormatting sqref="B11:B15">
    <cfRule type="expression" dxfId="70" priority="2">
      <formula>$B$3="Disabled"</formula>
    </cfRule>
  </conditionalFormatting>
  <conditionalFormatting sqref="B47:B51">
    <cfRule type="expression" dxfId="69" priority="6">
      <formula>$B$3="Disabled"</formula>
    </cfRule>
    <cfRule type="expression" dxfId="68" priority="7">
      <formula>$B$16&lt;&gt;"Linux"</formula>
    </cfRule>
  </conditionalFormatting>
  <conditionalFormatting sqref="C42:C61">
    <cfRule type="expression" dxfId="67" priority="5">
      <formula>$B$3="Disabled"</formula>
    </cfRule>
  </conditionalFormatting>
  <conditionalFormatting sqref="B4">
    <cfRule type="expression" dxfId="66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A392722D-11CA-415B-A4F3-EFE7BB0B7322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5" id="{EF379048-B241-4753-AEBB-19B2757353D1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2" id="{5717FB88-A447-474C-BA77-1CE4E111525E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6" id="{7096D740-8D23-4F5C-8A3F-E48A169EEA1B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79C944E7-7D81-4ABE-91B9-C8CD8E6722DD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2428BDCA-8B91-412E-A901-C6B8DF009CF3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D8EA611A-0D5B-4098-97CD-3F0141312C17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7E34EA1B-9670-4AA7-ABD0-50DC3D955D7E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6EBA0850-9ED7-4447-BB99-D37A6AF46024}">
          <x14:formula1>
            <xm:f>MiscData!$B$3:$B$4</xm:f>
          </x14:formula1>
          <xm:sqref>B19:B24</xm:sqref>
        </x14:dataValidation>
        <x14:dataValidation type="list" allowBlank="1" showInputMessage="1" showErrorMessage="1" xr:uid="{66A158DB-191E-4564-B826-0762070B1C9B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10B8AD43-FAFF-45B9-8179-B2B8CED58CFE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84A7AD1F-9C6D-45A8-8537-6F37EDC72783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F8BEEE88-7082-4CD8-9C2E-A72C6936E985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F6A6A6D1-C1E4-4E70-8A72-4F3614A437A9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E09E9EF5-7ACD-429E-8473-9AC29FF5CDC3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ABD45-194A-439C-BB8F-8917ED029342}">
  <sheetPr>
    <tabColor theme="3" tint="0.499984740745262"/>
  </sheetPr>
  <dimension ref="A1:E68"/>
  <sheetViews>
    <sheetView topLeftCell="A19" workbookViewId="0">
      <selection activeCell="B50" sqref="B50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_xlfn.SWITCH(experiment01319232425[[#This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254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_xlfn.SWITCH(B29,"vbump",_xlfn.SWITCH(TRUE,experiment01319232425[[#This Row],[Value]]="",MiscData!U15,experiment01319232425[[#This Row],[Value]]&gt;MiscData!N3,MiscData!U4,experiment01319232425[[#This Row],[Value]]&lt;MiscData!O3,MiscData!U5,MiscData!U3),"fixed",_xlfn.SWITCH(TRUE,experiment01319232425[[#This Row],[Value]]="",MiscData!U15,experiment01319232425[[#This Row],[Value]]&gt;MiscData!N7,MiscData!U4,experiment01319232425[[#This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_xlfn.SWITCH(B29,"vbump",_xlfn.SWITCH(TRUE,experiment01319232425[[#This Row],[Value]]="",MiscData!U15,experiment01319232425[[#This Row],[Value]]&gt;MiscData!N4,MiscData!U4,experiment01319232425[[#This Row],[Value]]&lt;MiscData!O4,MiscData!U5,MiscData!U3),"fixed",_xlfn.SWITCH(TRUE,experiment01319232425[[#This Row],[Value]]="",MiscData!U15,experiment01319232425[[#This Row],[Value]]&gt;MiscData!N8,MiscData!U4,experiment01319232425[[#This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_xlfn.SWITCH(TRUE,experiment01319232425[[#This Row],[Value]]="",MiscData!U15,experiment01319232425[[#This Row],[Value]]&gt;MiscData!Q3,MiscData!U4,experiment01319232425[[#This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_xlfn.SWITCH(TRUE,experiment01319232425[[#This Row],[Value]]="",MiscData!U15,experiment01319232425[[#This Row],[Value]]&gt;MiscData!Q4,MiscData!U4,experiment01319232425[[#This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258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65" priority="8">
      <formula>$B$3="Disabled"</formula>
    </cfRule>
  </conditionalFormatting>
  <conditionalFormatting sqref="A47:A51 C47:C51">
    <cfRule type="expression" dxfId="64" priority="10">
      <formula>$B$16&lt;&gt;"Linux"</formula>
    </cfRule>
  </conditionalFormatting>
  <conditionalFormatting sqref="A5:C6 A7 C7 A8:C10 A4 C4">
    <cfRule type="expression" dxfId="63" priority="11">
      <formula>$B$3="Disabled"</formula>
    </cfRule>
  </conditionalFormatting>
  <conditionalFormatting sqref="A16:C46">
    <cfRule type="expression" dxfId="62" priority="3">
      <formula>$B$3="Disabled"</formula>
    </cfRule>
  </conditionalFormatting>
  <conditionalFormatting sqref="A24:C24">
    <cfRule type="expression" dxfId="60" priority="14">
      <formula>$B$5="Slice"</formula>
    </cfRule>
  </conditionalFormatting>
  <conditionalFormatting sqref="A42:C46">
    <cfRule type="expression" dxfId="56" priority="4">
      <formula>$B$16&lt;&gt;"Linux"</formula>
    </cfRule>
  </conditionalFormatting>
  <conditionalFormatting sqref="A52:C68">
    <cfRule type="expression" dxfId="55" priority="9">
      <formula>$B$16&lt;&gt;"Dragon"</formula>
    </cfRule>
  </conditionalFormatting>
  <conditionalFormatting sqref="B11:B15">
    <cfRule type="expression" dxfId="54" priority="2">
      <formula>$B$3="Disabled"</formula>
    </cfRule>
  </conditionalFormatting>
  <conditionalFormatting sqref="B47:B51">
    <cfRule type="expression" dxfId="53" priority="6">
      <formula>$B$3="Disabled"</formula>
    </cfRule>
    <cfRule type="expression" dxfId="52" priority="7">
      <formula>$B$16&lt;&gt;"Linux"</formula>
    </cfRule>
  </conditionalFormatting>
  <conditionalFormatting sqref="C42:C61">
    <cfRule type="expression" dxfId="51" priority="5">
      <formula>$B$3="Disabled"</formula>
    </cfRule>
  </conditionalFormatting>
  <conditionalFormatting sqref="B4">
    <cfRule type="expression" dxfId="50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55CD064C-906E-49D4-8AC3-719352F68B8F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5" id="{1A165BCC-4C1C-4750-9E5A-1E0D7A36EAC2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2" id="{C37885F8-FCFB-4EF3-A0DB-5C9F8C73AEDA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6" id="{4CD7F9F5-BD12-42D0-9038-55E99115B8CE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E457D122-3B43-4EEF-AD63-421D5B5C5813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62DCC334-8B6D-4388-8C93-3F7722AED3A7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7F0113DE-DC0D-4CCF-A3AF-8E77B9245B66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BE0CA10C-0A64-41E1-853A-E66C0FF575EC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EC3811E5-98F9-41F3-A764-CCC6F150A3D9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424E2DCE-DF9A-4EA4-83A2-BD8424D39DE1}">
          <x14:formula1>
            <xm:f>MiscData!$B$3:$B$4</xm:f>
          </x14:formula1>
          <xm:sqref>B19:B24</xm:sqref>
        </x14:dataValidation>
        <x14:dataValidation type="list" allowBlank="1" showInputMessage="1" showErrorMessage="1" xr:uid="{6D6F424A-98C7-476C-A145-AD4910FEF3E6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7C84ADC5-55A3-487A-A4E5-2BC53B1082F8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56C0DD4F-4A65-45D2-89AD-E6CCE2F6E63D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7C84B45C-C2BA-4343-9265-B852BF653904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ACB00A25-7A15-4333-ACAC-0D478BC83DC3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82BD-73B5-4C1B-8F35-83AB344B1EBE}">
  <sheetPr>
    <tabColor theme="3" tint="0.499984740745262"/>
  </sheetPr>
  <dimension ref="A1:E68"/>
  <sheetViews>
    <sheetView topLeftCell="A22" workbookViewId="0">
      <selection activeCell="B49" sqref="B49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_xlfn.SWITCH(experiment0131923242526[[#This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255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_xlfn.SWITCH(B29,"vbump",_xlfn.SWITCH(TRUE,experiment0131923242526[[#This Row],[Value]]="",MiscData!U15,experiment0131923242526[[#This Row],[Value]]&gt;MiscData!N3,MiscData!U4,experiment0131923242526[[#This Row],[Value]]&lt;MiscData!O3,MiscData!U5,MiscData!U3),"fixed",_xlfn.SWITCH(TRUE,experiment0131923242526[[#This Row],[Value]]="",MiscData!U15,experiment0131923242526[[#This Row],[Value]]&gt;MiscData!N7,MiscData!U4,experiment0131923242526[[#This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_xlfn.SWITCH(B29,"vbump",_xlfn.SWITCH(TRUE,experiment0131923242526[[#This Row],[Value]]="",MiscData!U15,experiment0131923242526[[#This Row],[Value]]&gt;MiscData!N4,MiscData!U4,experiment0131923242526[[#This Row],[Value]]&lt;MiscData!O4,MiscData!U5,MiscData!U3),"fixed",_xlfn.SWITCH(TRUE,experiment0131923242526[[#This Row],[Value]]="",MiscData!U15,experiment0131923242526[[#This Row],[Value]]&gt;MiscData!N8,MiscData!U4,experiment0131923242526[[#This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_xlfn.SWITCH(TRUE,experiment0131923242526[[#This Row],[Value]]="",MiscData!U15,experiment0131923242526[[#This Row],[Value]]&gt;MiscData!Q3,MiscData!U4,experiment0131923242526[[#This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_xlfn.SWITCH(TRUE,experiment0131923242526[[#This Row],[Value]]="",MiscData!U15,experiment0131923242526[[#This Row],[Value]]&gt;MiscData!Q4,MiscData!U4,experiment0131923242526[[#This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228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259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ht="15" thickBot="1" x14ac:dyDescent="0.35">
      <c r="A51" s="33" t="s">
        <v>214</v>
      </c>
      <c r="B51" s="41"/>
      <c r="C51" s="37" t="s">
        <v>160</v>
      </c>
      <c r="D51" s="47"/>
    </row>
    <row r="52" spans="1:4" ht="14.4" customHeight="1" x14ac:dyDescent="0.3">
      <c r="A52" s="26" t="s">
        <v>161</v>
      </c>
      <c r="B52" s="27"/>
      <c r="C52" s="38" t="s">
        <v>176</v>
      </c>
      <c r="D52" s="48" t="s">
        <v>3</v>
      </c>
    </row>
    <row r="53" spans="1:4" x14ac:dyDescent="0.3">
      <c r="A53" s="28" t="s">
        <v>162</v>
      </c>
      <c r="B53" s="29"/>
      <c r="C53" s="39" t="s">
        <v>177</v>
      </c>
      <c r="D53" s="49"/>
    </row>
    <row r="54" spans="1:4" x14ac:dyDescent="0.3">
      <c r="A54" s="28" t="s">
        <v>163</v>
      </c>
      <c r="B54" s="29" t="s">
        <v>184</v>
      </c>
      <c r="C54" s="39" t="s">
        <v>178</v>
      </c>
      <c r="D54" s="49"/>
    </row>
    <row r="55" spans="1:4" x14ac:dyDescent="0.3">
      <c r="A55" s="28" t="s">
        <v>164</v>
      </c>
      <c r="B55" s="29" t="s">
        <v>183</v>
      </c>
      <c r="C55" s="39" t="s">
        <v>179</v>
      </c>
      <c r="D55" s="49"/>
    </row>
    <row r="56" spans="1:4" x14ac:dyDescent="0.3">
      <c r="A56" s="28" t="s">
        <v>165</v>
      </c>
      <c r="B56" s="29" t="s">
        <v>182</v>
      </c>
      <c r="C56" s="39" t="s">
        <v>180</v>
      </c>
      <c r="D56" s="49"/>
    </row>
    <row r="57" spans="1:4" x14ac:dyDescent="0.3">
      <c r="A57" s="28" t="s">
        <v>166</v>
      </c>
      <c r="B57" s="29" t="s">
        <v>130</v>
      </c>
      <c r="C57" s="39" t="s">
        <v>181</v>
      </c>
      <c r="D57" s="49"/>
    </row>
    <row r="58" spans="1:4" x14ac:dyDescent="0.3">
      <c r="A58" s="28" t="s">
        <v>167</v>
      </c>
      <c r="B58" s="29" t="s">
        <v>185</v>
      </c>
      <c r="C58" s="39" t="s">
        <v>200</v>
      </c>
      <c r="D58" s="49"/>
    </row>
    <row r="59" spans="1:4" x14ac:dyDescent="0.3">
      <c r="A59" s="28" t="s">
        <v>168</v>
      </c>
      <c r="B59" s="29">
        <v>80064000</v>
      </c>
      <c r="C59" s="39" t="s">
        <v>201</v>
      </c>
      <c r="D59" s="49"/>
    </row>
    <row r="60" spans="1:4" x14ac:dyDescent="0.3">
      <c r="A60" s="28" t="s">
        <v>169</v>
      </c>
      <c r="B60" s="29" t="s">
        <v>186</v>
      </c>
      <c r="C60" s="39" t="s">
        <v>202</v>
      </c>
      <c r="D60" s="49"/>
    </row>
    <row r="61" spans="1:4" x14ac:dyDescent="0.3">
      <c r="A61" s="28" t="s">
        <v>170</v>
      </c>
      <c r="B61" s="29" t="s">
        <v>204</v>
      </c>
      <c r="C61" s="39" t="s">
        <v>203</v>
      </c>
      <c r="D61" s="49"/>
    </row>
    <row r="62" spans="1:4" x14ac:dyDescent="0.3">
      <c r="A62" s="28" t="s">
        <v>171</v>
      </c>
      <c r="B62" s="29"/>
      <c r="C62" s="39" t="s">
        <v>192</v>
      </c>
      <c r="D62" s="49"/>
    </row>
    <row r="63" spans="1:4" x14ac:dyDescent="0.3">
      <c r="A63" s="28" t="s">
        <v>187</v>
      </c>
      <c r="B63" s="29" t="s">
        <v>230</v>
      </c>
      <c r="C63" s="39" t="s">
        <v>193</v>
      </c>
      <c r="D63" s="49"/>
    </row>
    <row r="64" spans="1:4" x14ac:dyDescent="0.3">
      <c r="A64" s="28" t="s">
        <v>172</v>
      </c>
      <c r="B64" s="29"/>
      <c r="C64" s="39" t="s">
        <v>195</v>
      </c>
      <c r="D64" s="49"/>
    </row>
    <row r="65" spans="1:4" x14ac:dyDescent="0.3">
      <c r="A65" s="28" t="s">
        <v>175</v>
      </c>
      <c r="B65" s="29" t="b">
        <v>1</v>
      </c>
      <c r="C65" s="39" t="s">
        <v>196</v>
      </c>
      <c r="D65" s="49"/>
    </row>
    <row r="66" spans="1:4" x14ac:dyDescent="0.3">
      <c r="A66" s="28" t="s">
        <v>189</v>
      </c>
      <c r="B66" s="29" t="s">
        <v>188</v>
      </c>
      <c r="C66" s="39" t="s">
        <v>197</v>
      </c>
      <c r="D66" s="49"/>
    </row>
    <row r="67" spans="1:4" x14ac:dyDescent="0.3">
      <c r="A67" s="28" t="s">
        <v>174</v>
      </c>
      <c r="B67" s="29" t="s">
        <v>190</v>
      </c>
      <c r="C67" s="39" t="s">
        <v>199</v>
      </c>
      <c r="D67" s="49"/>
    </row>
    <row r="68" spans="1:4" ht="15" thickBot="1" x14ac:dyDescent="0.35">
      <c r="A68" s="30" t="s">
        <v>173</v>
      </c>
      <c r="B68" s="31" t="s">
        <v>191</v>
      </c>
      <c r="C68" s="40" t="s">
        <v>198</v>
      </c>
      <c r="D68" s="50"/>
    </row>
  </sheetData>
  <mergeCells count="5">
    <mergeCell ref="A1:B1"/>
    <mergeCell ref="C1:C2"/>
    <mergeCell ref="D28:E28"/>
    <mergeCell ref="D42:D51"/>
    <mergeCell ref="D52:D68"/>
  </mergeCells>
  <conditionalFormatting sqref="A11:A15 C11:C15 A47:A51 A52:C68">
    <cfRule type="expression" dxfId="49" priority="8">
      <formula>$B$3="Disabled"</formula>
    </cfRule>
  </conditionalFormatting>
  <conditionalFormatting sqref="A47:A51 C47:C51">
    <cfRule type="expression" dxfId="48" priority="10">
      <formula>$B$16&lt;&gt;"Linux"</formula>
    </cfRule>
  </conditionalFormatting>
  <conditionalFormatting sqref="A5:C6 A7 C7 A8:C10 A4 C4">
    <cfRule type="expression" dxfId="47" priority="11">
      <formula>$B$3="Disabled"</formula>
    </cfRule>
  </conditionalFormatting>
  <conditionalFormatting sqref="A16:C46">
    <cfRule type="expression" dxfId="46" priority="3">
      <formula>$B$3="Disabled"</formula>
    </cfRule>
  </conditionalFormatting>
  <conditionalFormatting sqref="A24:C24">
    <cfRule type="expression" dxfId="44" priority="14">
      <formula>$B$5="Slice"</formula>
    </cfRule>
  </conditionalFormatting>
  <conditionalFormatting sqref="A42:C46">
    <cfRule type="expression" dxfId="40" priority="4">
      <formula>$B$16&lt;&gt;"Linux"</formula>
    </cfRule>
  </conditionalFormatting>
  <conditionalFormatting sqref="A52:C68">
    <cfRule type="expression" dxfId="39" priority="9">
      <formula>$B$16&lt;&gt;"Dragon"</formula>
    </cfRule>
  </conditionalFormatting>
  <conditionalFormatting sqref="B11:B15">
    <cfRule type="expression" dxfId="38" priority="2">
      <formula>$B$3="Disabled"</formula>
    </cfRule>
  </conditionalFormatting>
  <conditionalFormatting sqref="B47:B51">
    <cfRule type="expression" dxfId="37" priority="6">
      <formula>$B$3="Disabled"</formula>
    </cfRule>
    <cfRule type="expression" dxfId="36" priority="7">
      <formula>$B$16&lt;&gt;"Linux"</formula>
    </cfRule>
  </conditionalFormatting>
  <conditionalFormatting sqref="C42:C61">
    <cfRule type="expression" dxfId="35" priority="5">
      <formula>$B$3="Disabled"</formula>
    </cfRule>
  </conditionalFormatting>
  <conditionalFormatting sqref="B4">
    <cfRule type="expression" dxfId="34" priority="1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3" id="{6645EA24-5309-4344-8CD1-191EB71F3027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5" id="{615DA2F0-E170-4422-AA8B-BC7BBD733B31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2" id="{BF695BA1-EB20-42D1-AD64-DD01E753395E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6" id="{31E481E6-4D4D-4CEE-BA22-6A72ACD88AA9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6F818450-F689-413D-8ABE-FFD6F91CE772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9DE60231-340D-4D9E-88AE-AE4EAC2EABC6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B82C5ECC-F3DC-4C1C-ACD4-8F0411C817A4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0360FEF4-F96A-4CF2-A9AE-BE7F043A0631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5AC7F7F6-0F95-4A5B-96A9-6E6EDEAF25AF}">
          <x14:formula1>
            <xm:f>MiscData!$B$3:$B$4</xm:f>
          </x14:formula1>
          <xm:sqref>B19:B24</xm:sqref>
        </x14:dataValidation>
        <x14:dataValidation type="list" allowBlank="1" showInputMessage="1" showErrorMessage="1" xr:uid="{63D2F2B9-F7BE-48D9-8262-6D0B58CB14D0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8B2D301A-D079-4C3F-A54A-20B4D292EADE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1DDD77AB-4C0B-40E5-B229-4767ED239AC3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31BB12B8-3937-4C0E-B715-3DF5E5F4CA5B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53164013-818B-45D2-8C19-2F1AB7ACFE94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6B36A051-0439-4D98-890E-A0D6C742897A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BCD0E-FBBC-4D4D-B63C-49EBC67B1307}">
  <sheetPr>
    <tabColor rgb="FFFFFF00"/>
  </sheetPr>
  <dimension ref="A1:E69"/>
  <sheetViews>
    <sheetView topLeftCell="A27" workbookViewId="0">
      <selection activeCell="B48" sqref="B48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_xlfn.SWITCH(experiment013192327[[#This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264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271</v>
      </c>
      <c r="C14" s="13" t="s">
        <v>139</v>
      </c>
    </row>
    <row r="15" spans="1:3" x14ac:dyDescent="0.3">
      <c r="A15" t="s">
        <v>142</v>
      </c>
      <c r="B15" s="2" t="s">
        <v>272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_xlfn.SWITCH(B29,"vbump",_xlfn.SWITCH(TRUE,experiment013192327[[#This Row],[Value]]="",MiscData!U15,experiment013192327[[#This Row],[Value]]&gt;MiscData!N3,MiscData!U4,experiment013192327[[#This Row],[Value]]&lt;MiscData!O3,MiscData!U5,MiscData!U3),"fixed",_xlfn.SWITCH(TRUE,experiment013192327[[#This Row],[Value]]="",MiscData!U15,experiment013192327[[#This Row],[Value]]&gt;MiscData!N7,MiscData!U4,experiment013192327[[#This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_xlfn.SWITCH(B29,"vbump",_xlfn.SWITCH(TRUE,experiment013192327[[#This Row],[Value]]="",MiscData!U15,experiment013192327[[#This Row],[Value]]&gt;MiscData!N4,MiscData!U4,experiment013192327[[#This Row],[Value]]&lt;MiscData!O4,MiscData!U5,MiscData!U3),"fixed",_xlfn.SWITCH(TRUE,experiment013192327[[#This Row],[Value]]="",MiscData!U15,experiment013192327[[#This Row],[Value]]&gt;MiscData!N8,MiscData!U4,experiment013192327[[#This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_xlfn.SWITCH(TRUE,experiment013192327[[#This Row],[Value]]="",MiscData!U15,experiment013192327[[#This Row],[Value]]&gt;MiscData!Q3,MiscData!U4,experiment013192327[[#This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_xlfn.SWITCH(TRUE,experiment013192327[[#This Row],[Value]]="",MiscData!U15,experiment013192327[[#This Row],[Value]]&gt;MiscData!Q4,MiscData!U4,experiment013192327[[#This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274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266</v>
      </c>
      <c r="C49" s="37" t="s">
        <v>194</v>
      </c>
      <c r="D49" s="46"/>
    </row>
    <row r="50" spans="1:4" x14ac:dyDescent="0.3">
      <c r="A50" s="33" t="s">
        <v>154</v>
      </c>
      <c r="B50" s="41" t="s">
        <v>267</v>
      </c>
      <c r="C50" s="37" t="s">
        <v>160</v>
      </c>
      <c r="D50" s="46"/>
    </row>
    <row r="51" spans="1:4" x14ac:dyDescent="0.3">
      <c r="A51" s="33" t="s">
        <v>214</v>
      </c>
      <c r="B51" s="41" t="s">
        <v>268</v>
      </c>
      <c r="C51" s="37" t="s">
        <v>160</v>
      </c>
      <c r="D51" s="46"/>
    </row>
    <row r="52" spans="1:4" ht="15" thickBot="1" x14ac:dyDescent="0.35">
      <c r="A52" s="33" t="s">
        <v>265</v>
      </c>
      <c r="B52" s="41" t="s">
        <v>269</v>
      </c>
      <c r="C52" s="37" t="s">
        <v>160</v>
      </c>
      <c r="D52" s="47"/>
    </row>
    <row r="53" spans="1:4" ht="14.4" customHeight="1" x14ac:dyDescent="0.3">
      <c r="A53" s="26" t="s">
        <v>161</v>
      </c>
      <c r="B53" s="27"/>
      <c r="C53" s="38" t="s">
        <v>176</v>
      </c>
      <c r="D53" s="48" t="s">
        <v>3</v>
      </c>
    </row>
    <row r="54" spans="1:4" x14ac:dyDescent="0.3">
      <c r="A54" s="28" t="s">
        <v>162</v>
      </c>
      <c r="B54" s="29"/>
      <c r="C54" s="39" t="s">
        <v>177</v>
      </c>
      <c r="D54" s="49"/>
    </row>
    <row r="55" spans="1:4" x14ac:dyDescent="0.3">
      <c r="A55" s="28" t="s">
        <v>163</v>
      </c>
      <c r="B55" s="29" t="s">
        <v>184</v>
      </c>
      <c r="C55" s="39" t="s">
        <v>178</v>
      </c>
      <c r="D55" s="49"/>
    </row>
    <row r="56" spans="1:4" x14ac:dyDescent="0.3">
      <c r="A56" s="28" t="s">
        <v>164</v>
      </c>
      <c r="B56" s="29" t="s">
        <v>183</v>
      </c>
      <c r="C56" s="39" t="s">
        <v>179</v>
      </c>
      <c r="D56" s="49"/>
    </row>
    <row r="57" spans="1:4" x14ac:dyDescent="0.3">
      <c r="A57" s="28" t="s">
        <v>165</v>
      </c>
      <c r="B57" s="29" t="s">
        <v>182</v>
      </c>
      <c r="C57" s="39" t="s">
        <v>180</v>
      </c>
      <c r="D57" s="49"/>
    </row>
    <row r="58" spans="1:4" x14ac:dyDescent="0.3">
      <c r="A58" s="28" t="s">
        <v>166</v>
      </c>
      <c r="B58" s="29" t="s">
        <v>130</v>
      </c>
      <c r="C58" s="39" t="s">
        <v>181</v>
      </c>
      <c r="D58" s="49"/>
    </row>
    <row r="59" spans="1:4" x14ac:dyDescent="0.3">
      <c r="A59" s="28" t="s">
        <v>167</v>
      </c>
      <c r="B59" s="29" t="s">
        <v>185</v>
      </c>
      <c r="C59" s="39" t="s">
        <v>200</v>
      </c>
      <c r="D59" s="49"/>
    </row>
    <row r="60" spans="1:4" x14ac:dyDescent="0.3">
      <c r="A60" s="28" t="s">
        <v>168</v>
      </c>
      <c r="B60" s="29">
        <v>80064000</v>
      </c>
      <c r="C60" s="39" t="s">
        <v>201</v>
      </c>
      <c r="D60" s="49"/>
    </row>
    <row r="61" spans="1:4" x14ac:dyDescent="0.3">
      <c r="A61" s="28" t="s">
        <v>169</v>
      </c>
      <c r="B61" s="29" t="s">
        <v>186</v>
      </c>
      <c r="C61" s="39" t="s">
        <v>202</v>
      </c>
      <c r="D61" s="49"/>
    </row>
    <row r="62" spans="1:4" x14ac:dyDescent="0.3">
      <c r="A62" s="28" t="s">
        <v>170</v>
      </c>
      <c r="B62" s="29" t="s">
        <v>204</v>
      </c>
      <c r="C62" s="39" t="s">
        <v>203</v>
      </c>
      <c r="D62" s="49"/>
    </row>
    <row r="63" spans="1:4" x14ac:dyDescent="0.3">
      <c r="A63" s="28" t="s">
        <v>171</v>
      </c>
      <c r="B63" s="29"/>
      <c r="C63" s="39" t="s">
        <v>192</v>
      </c>
      <c r="D63" s="49"/>
    </row>
    <row r="64" spans="1:4" x14ac:dyDescent="0.3">
      <c r="A64" s="28" t="s">
        <v>187</v>
      </c>
      <c r="B64" s="29" t="s">
        <v>230</v>
      </c>
      <c r="C64" s="39" t="s">
        <v>193</v>
      </c>
      <c r="D64" s="49"/>
    </row>
    <row r="65" spans="1:4" x14ac:dyDescent="0.3">
      <c r="A65" s="28" t="s">
        <v>172</v>
      </c>
      <c r="B65" s="29"/>
      <c r="C65" s="39" t="s">
        <v>195</v>
      </c>
      <c r="D65" s="49"/>
    </row>
    <row r="66" spans="1:4" x14ac:dyDescent="0.3">
      <c r="A66" s="28" t="s">
        <v>175</v>
      </c>
      <c r="B66" s="29" t="b">
        <v>1</v>
      </c>
      <c r="C66" s="39" t="s">
        <v>196</v>
      </c>
      <c r="D66" s="49"/>
    </row>
    <row r="67" spans="1:4" x14ac:dyDescent="0.3">
      <c r="A67" s="28" t="s">
        <v>189</v>
      </c>
      <c r="B67" s="29" t="s">
        <v>188</v>
      </c>
      <c r="C67" s="39" t="s">
        <v>197</v>
      </c>
      <c r="D67" s="49"/>
    </row>
    <row r="68" spans="1:4" x14ac:dyDescent="0.3">
      <c r="A68" s="28" t="s">
        <v>174</v>
      </c>
      <c r="B68" s="29" t="s">
        <v>190</v>
      </c>
      <c r="C68" s="39" t="s">
        <v>199</v>
      </c>
      <c r="D68" s="49"/>
    </row>
    <row r="69" spans="1:4" ht="15" thickBot="1" x14ac:dyDescent="0.35">
      <c r="A69" s="30" t="s">
        <v>173</v>
      </c>
      <c r="B69" s="31" t="s">
        <v>191</v>
      </c>
      <c r="C69" s="40" t="s">
        <v>198</v>
      </c>
      <c r="D69" s="50"/>
    </row>
  </sheetData>
  <mergeCells count="5">
    <mergeCell ref="A1:B1"/>
    <mergeCell ref="C1:C2"/>
    <mergeCell ref="D28:E28"/>
    <mergeCell ref="D42:D52"/>
    <mergeCell ref="D53:D69"/>
  </mergeCells>
  <phoneticPr fontId="3" type="noConversion"/>
  <conditionalFormatting sqref="A11:A15 C11:C15 A53:C69 A47:A52">
    <cfRule type="expression" dxfId="33" priority="7">
      <formula>$B$3="Disabled"</formula>
    </cfRule>
  </conditionalFormatting>
  <conditionalFormatting sqref="C47:C52 A47:A52">
    <cfRule type="expression" dxfId="32" priority="9">
      <formula>$B$16&lt;&gt;"Linux"</formula>
    </cfRule>
  </conditionalFormatting>
  <conditionalFormatting sqref="A4:C6 A7 C7 A8:C10">
    <cfRule type="expression" dxfId="31" priority="10">
      <formula>$B$3="Disabled"</formula>
    </cfRule>
  </conditionalFormatting>
  <conditionalFormatting sqref="A16:C46">
    <cfRule type="expression" dxfId="30" priority="2">
      <formula>$B$3="Disabled"</formula>
    </cfRule>
  </conditionalFormatting>
  <conditionalFormatting sqref="A24:C24">
    <cfRule type="expression" dxfId="28" priority="13">
      <formula>$B$5="Slice"</formula>
    </cfRule>
  </conditionalFormatting>
  <conditionalFormatting sqref="A42:C46">
    <cfRule type="expression" dxfId="24" priority="3">
      <formula>$B$16&lt;&gt;"Linux"</formula>
    </cfRule>
  </conditionalFormatting>
  <conditionalFormatting sqref="A53:C69">
    <cfRule type="expression" dxfId="23" priority="8">
      <formula>$B$16&lt;&gt;"Dragon"</formula>
    </cfRule>
  </conditionalFormatting>
  <conditionalFormatting sqref="B11:B15">
    <cfRule type="expression" dxfId="22" priority="1">
      <formula>$B$3="Disabled"</formula>
    </cfRule>
  </conditionalFormatting>
  <conditionalFormatting sqref="B47:B52">
    <cfRule type="expression" dxfId="21" priority="5">
      <formula>$B$3="Disabled"</formula>
    </cfRule>
    <cfRule type="expression" dxfId="20" priority="6">
      <formula>$B$16&lt;&gt;"Linux"</formula>
    </cfRule>
  </conditionalFormatting>
  <conditionalFormatting sqref="C42:C62">
    <cfRule type="expression" dxfId="19" priority="4">
      <formula>$B$3="Disabled"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2" id="{A551DE97-96A5-45E3-A729-75DF023972B0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4" id="{B04452A5-394B-4504-ADB3-82BAF3BDA297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1" id="{B7BF4ABC-9188-432C-9DA6-4BF16304EF46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5" id="{7B935864-0FB4-42A5-BCC4-D711A83D200C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11">
        <x14:dataValidation type="list" allowBlank="1" showInputMessage="1" showErrorMessage="1" xr:uid="{B4139D43-7CAD-48B2-BD38-2A9992F4C11F}">
          <x14:formula1>
            <xm:f>_xlfn._TRO_TRAILING(MiscData!$E$3:$E$6)</xm:f>
          </x14:formula1>
          <xm:sqref>B5</xm:sqref>
        </x14:dataValidation>
        <x14:dataValidation type="list" allowBlank="1" showInputMessage="1" showErrorMessage="1" xr:uid="{0B295DD3-D6E8-4071-8C01-1E9171339535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F4872F98-2A69-43BA-9FA5-90D975489711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E6C8942B-6638-4A95-B99C-EABDC676ECB6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94E3E852-5C62-454F-9444-1B836CA89F56}">
          <x14:formula1>
            <xm:f>MiscData!$B$3:$B$4</xm:f>
          </x14:formula1>
          <xm:sqref>B19:B24</xm:sqref>
        </x14:dataValidation>
        <x14:dataValidation type="list" allowBlank="1" showInputMessage="1" showErrorMessage="1" xr:uid="{8C77D4BB-2A15-43B7-B034-4F435835B475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CC095BFF-FB5C-4DF7-84EE-5B03C2A90CFF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74291A40-9E98-4621-91C8-5BCBDA830A55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0DD4E056-1B2D-4FA1-A25B-1580C1A3A7B3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2FEEBDEF-E5DF-42D6-AE59-EE26EC8928E8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0AC8435F-1D6A-4331-995B-7A4D008368AD}">
          <x14:formula1>
            <xm:f>_xlfn.SWITCH(B5,"Mesh",_xlfn._TRO_TRAILING(MiscData!AA2:AA20),"Slice",_xlfn.ANCHORARRAY(MiscData!AC2),"")</xm:f>
          </x14:formula1>
          <xm:sqref>B25:B26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D580-024D-4637-99F4-1F2CEB678454}">
  <sheetPr>
    <tabColor rgb="FFFF0000"/>
  </sheetPr>
  <dimension ref="A1:E69"/>
  <sheetViews>
    <sheetView tabSelected="1" topLeftCell="A25" workbookViewId="0">
      <selection activeCell="B44" sqref="B44"/>
    </sheetView>
  </sheetViews>
  <sheetFormatPr defaultRowHeight="14.4" x14ac:dyDescent="0.3"/>
  <cols>
    <col min="1" max="1" width="21.6640625" bestFit="1" customWidth="1"/>
    <col min="2" max="2" width="140.33203125" bestFit="1" customWidth="1"/>
    <col min="3" max="3" width="124.6640625" customWidth="1"/>
    <col min="4" max="4" width="7.6640625" bestFit="1" customWidth="1"/>
    <col min="5" max="5" width="9.6640625" bestFit="1" customWidth="1"/>
    <col min="7" max="7" width="7.6640625" bestFit="1" customWidth="1"/>
  </cols>
  <sheetData>
    <row r="1" spans="1:3" x14ac:dyDescent="0.3">
      <c r="A1" s="42" t="s">
        <v>30</v>
      </c>
      <c r="B1" s="42"/>
      <c r="C1" s="42" t="s">
        <v>102</v>
      </c>
    </row>
    <row r="2" spans="1:3" x14ac:dyDescent="0.3">
      <c r="A2" s="1" t="s">
        <v>0</v>
      </c>
      <c r="B2" s="1" t="s">
        <v>31</v>
      </c>
      <c r="C2" s="42"/>
    </row>
    <row r="3" spans="1:3" x14ac:dyDescent="0.3">
      <c r="A3" s="2" t="s">
        <v>110</v>
      </c>
      <c r="B3" s="2" t="s">
        <v>111</v>
      </c>
      <c r="C3" s="14" t="str" cm="1">
        <f t="array" ref="C3">_xlfn.SWITCH(experiment01319232728[[#This Row],[Value]],"Disabled","Experiment disabled will not run", " Experiment recipe enabled")</f>
        <v xml:space="preserve"> Experiment recipe enabled</v>
      </c>
    </row>
    <row r="4" spans="1:3" x14ac:dyDescent="0.3">
      <c r="A4" t="s">
        <v>11</v>
      </c>
      <c r="B4" s="2" t="s">
        <v>270</v>
      </c>
      <c r="C4" s="13" t="s">
        <v>103</v>
      </c>
    </row>
    <row r="5" spans="1:3" x14ac:dyDescent="0.3">
      <c r="A5" t="s">
        <v>7</v>
      </c>
      <c r="B5" s="2" t="s">
        <v>8</v>
      </c>
      <c r="C5" s="13" t="s">
        <v>90</v>
      </c>
    </row>
    <row r="6" spans="1:3" x14ac:dyDescent="0.3">
      <c r="A6" t="s">
        <v>9</v>
      </c>
      <c r="B6" s="2" t="s">
        <v>39</v>
      </c>
      <c r="C6" s="13" t="s">
        <v>89</v>
      </c>
    </row>
    <row r="7" spans="1:3" x14ac:dyDescent="0.3">
      <c r="A7" t="s">
        <v>24</v>
      </c>
      <c r="B7" t="s">
        <v>220</v>
      </c>
      <c r="C7" s="13" t="s">
        <v>91</v>
      </c>
    </row>
    <row r="8" spans="1:3" x14ac:dyDescent="0.3">
      <c r="A8" t="s">
        <v>25</v>
      </c>
      <c r="B8" s="2" t="s">
        <v>221</v>
      </c>
      <c r="C8" s="13" t="s">
        <v>92</v>
      </c>
    </row>
    <row r="9" spans="1:3" x14ac:dyDescent="0.3">
      <c r="A9" t="s">
        <v>1</v>
      </c>
      <c r="B9" s="2">
        <v>8</v>
      </c>
      <c r="C9" s="13" t="s">
        <v>57</v>
      </c>
    </row>
    <row r="10" spans="1:3" x14ac:dyDescent="0.3">
      <c r="A10" t="s">
        <v>2</v>
      </c>
      <c r="B10" s="2" t="s">
        <v>223</v>
      </c>
      <c r="C10" s="13" t="s">
        <v>58</v>
      </c>
    </row>
    <row r="11" spans="1:3" x14ac:dyDescent="0.3">
      <c r="A11" t="s">
        <v>134</v>
      </c>
      <c r="B11" s="2" t="s">
        <v>222</v>
      </c>
      <c r="C11" s="13" t="s">
        <v>132</v>
      </c>
    </row>
    <row r="12" spans="1:3" x14ac:dyDescent="0.3">
      <c r="A12" t="s">
        <v>135</v>
      </c>
      <c r="B12" s="2"/>
      <c r="C12" s="13" t="s">
        <v>133</v>
      </c>
    </row>
    <row r="13" spans="1:3" x14ac:dyDescent="0.3">
      <c r="A13" t="s">
        <v>218</v>
      </c>
      <c r="B13" s="2"/>
      <c r="C13" s="13" t="s">
        <v>219</v>
      </c>
    </row>
    <row r="14" spans="1:3" x14ac:dyDescent="0.3">
      <c r="A14" t="s">
        <v>141</v>
      </c>
      <c r="B14" s="2" t="s">
        <v>224</v>
      </c>
      <c r="C14" s="13" t="s">
        <v>139</v>
      </c>
    </row>
    <row r="15" spans="1:3" x14ac:dyDescent="0.3">
      <c r="A15" t="s">
        <v>142</v>
      </c>
      <c r="B15" s="2" t="s">
        <v>225</v>
      </c>
      <c r="C15" s="13" t="s">
        <v>140</v>
      </c>
    </row>
    <row r="16" spans="1:3" x14ac:dyDescent="0.3">
      <c r="A16" t="s">
        <v>5</v>
      </c>
      <c r="B16" s="2" t="s">
        <v>4</v>
      </c>
      <c r="C16" s="13" t="s">
        <v>138</v>
      </c>
    </row>
    <row r="17" spans="1:5" x14ac:dyDescent="0.3">
      <c r="A17" t="s">
        <v>6</v>
      </c>
      <c r="B17" s="2">
        <v>9</v>
      </c>
      <c r="C17" s="13" t="s">
        <v>88</v>
      </c>
    </row>
    <row r="18" spans="1:5" x14ac:dyDescent="0.3">
      <c r="A18" t="s">
        <v>12</v>
      </c>
      <c r="B18" s="2">
        <v>30</v>
      </c>
      <c r="C18" s="13" t="s">
        <v>59</v>
      </c>
    </row>
    <row r="19" spans="1:5" x14ac:dyDescent="0.3">
      <c r="A19" t="s">
        <v>73</v>
      </c>
      <c r="B19" s="2" t="b">
        <v>1</v>
      </c>
      <c r="C19" s="13" t="s">
        <v>76</v>
      </c>
    </row>
    <row r="20" spans="1:5" x14ac:dyDescent="0.3">
      <c r="A20" t="s">
        <v>74</v>
      </c>
      <c r="B20" s="2" t="b">
        <v>1</v>
      </c>
      <c r="C20" s="13" t="s">
        <v>75</v>
      </c>
    </row>
    <row r="21" spans="1:5" x14ac:dyDescent="0.3">
      <c r="A21" t="s">
        <v>26</v>
      </c>
      <c r="B21" s="2" t="b">
        <v>1</v>
      </c>
      <c r="C21" s="13" t="s">
        <v>78</v>
      </c>
    </row>
    <row r="22" spans="1:5" x14ac:dyDescent="0.3">
      <c r="A22" t="s">
        <v>28</v>
      </c>
      <c r="B22" s="2"/>
      <c r="C22" s="13" t="s">
        <v>21</v>
      </c>
    </row>
    <row r="23" spans="1:5" x14ac:dyDescent="0.3">
      <c r="A23" t="s">
        <v>29</v>
      </c>
      <c r="B23" s="2" t="b">
        <v>1</v>
      </c>
      <c r="C23" s="13" t="s">
        <v>27</v>
      </c>
    </row>
    <row r="24" spans="1:5" x14ac:dyDescent="0.3">
      <c r="A24" s="25" t="s">
        <v>115</v>
      </c>
      <c r="B24" s="25" t="b">
        <v>0</v>
      </c>
      <c r="C24" s="25" t="str" cm="1">
        <f t="array" ref="C24">IF(MiscData!C1="AtomCore",MiscData!U14,_xlfn.SWITCH($B$5,"Slice",MiscData!U14,MiscData!U16))</f>
        <v>Set if using Pseudo Mesh Content, to disable HT</v>
      </c>
    </row>
    <row r="25" spans="1:5" x14ac:dyDescent="0.3">
      <c r="A25" t="s">
        <v>13</v>
      </c>
      <c r="B25" s="2"/>
      <c r="C25" s="13" t="str">
        <f>_xlfn.XLOOKUP(B5,MiscData!K3:K5,MiscData!L3:L5)</f>
        <v>Mesh Options: RowPass1, RowPass2, RowPass3, FirstPass, SecondPass, ThirdPass || Leave Blank if Full Chip</v>
      </c>
    </row>
    <row r="26" spans="1:5" x14ac:dyDescent="0.3">
      <c r="A26" t="s">
        <v>145</v>
      </c>
      <c r="B26" s="2"/>
      <c r="C26" s="13" t="str" cm="1">
        <f t="array" ref="C26">_xlfn.SWITCH(B16,"PYSVConsole",MiscData!U18,MiscData!U14)</f>
        <v>Not used</v>
      </c>
    </row>
    <row r="27" spans="1:5" ht="15" thickBot="1" x14ac:dyDescent="0.35">
      <c r="A27" s="25" t="s">
        <v>119</v>
      </c>
      <c r="B27" s="25"/>
      <c r="C27" s="25" t="str">
        <f>IF(MiscData!C1="AtomCore",MiscData!U17,MiscData!U14)</f>
        <v>Not used</v>
      </c>
    </row>
    <row r="28" spans="1:5" x14ac:dyDescent="0.3">
      <c r="A28" s="3" t="s">
        <v>14</v>
      </c>
      <c r="B28" s="4">
        <v>36</v>
      </c>
      <c r="C28" s="15" t="s">
        <v>15</v>
      </c>
      <c r="D28" s="43" t="s">
        <v>105</v>
      </c>
      <c r="E28" s="44"/>
    </row>
    <row r="29" spans="1:5" x14ac:dyDescent="0.3">
      <c r="A29" s="5" t="s">
        <v>16</v>
      </c>
      <c r="B29" s="2" t="s">
        <v>17</v>
      </c>
      <c r="C29" s="13" t="s">
        <v>18</v>
      </c>
      <c r="D29" s="22" t="s">
        <v>106</v>
      </c>
      <c r="E29" s="16" t="s">
        <v>107</v>
      </c>
    </row>
    <row r="30" spans="1:5" x14ac:dyDescent="0.3">
      <c r="A30" s="5" t="s">
        <v>19</v>
      </c>
      <c r="B30" s="2"/>
      <c r="C30" s="13" t="str" cm="1">
        <f t="array" ref="C30">_xlfn.SWITCH(B29,"vbump",_xlfn.SWITCH(TRUE,experiment01319232728[[#This Row],[Value]]="",MiscData!U15,experiment01319232728[[#This Row],[Value]]&gt;MiscData!N3,MiscData!U4,experiment01319232728[[#This Row],[Value]]&lt;MiscData!O3,MiscData!U5,MiscData!U3),"fixed",_xlfn.SWITCH(TRUE,experiment01319232728[[#This Row],[Value]]="",MiscData!U15,experiment01319232728[[#This Row],[Value]]&gt;MiscData!N7,MiscData!U4,experiment01319232728[[#This Row],[Value]]&lt;MiscData!O7,MiscData!U5,MiscData!U3),"")</f>
        <v>Not Configured</v>
      </c>
      <c r="D30" s="23" cm="1">
        <f t="array" ref="D30">_xlfn.SWITCH(B$29,"vbump",MiscData!N3,"fixed",MiscData!N7,"")</f>
        <v>0.2</v>
      </c>
      <c r="E30" s="17" cm="1">
        <f t="array" ref="E30">_xlfn.SWITCH(B$29,"vbump",MiscData!O3,"fixed",MiscData!O7,"")</f>
        <v>-0.2</v>
      </c>
    </row>
    <row r="31" spans="1:5" x14ac:dyDescent="0.3">
      <c r="A31" s="5" t="s">
        <v>20</v>
      </c>
      <c r="B31" s="2"/>
      <c r="C31" s="13" t="str" cm="1">
        <f t="array" ref="C31">_xlfn.SWITCH(B29,"vbump",_xlfn.SWITCH(TRUE,experiment01319232728[[#This Row],[Value]]="",MiscData!U15,experiment01319232728[[#This Row],[Value]]&gt;MiscData!N4,MiscData!U4,experiment01319232728[[#This Row],[Value]]&lt;MiscData!O4,MiscData!U5,MiscData!U3),"fixed",_xlfn.SWITCH(TRUE,experiment01319232728[[#This Row],[Value]]="",MiscData!U15,experiment01319232728[[#This Row],[Value]]&gt;MiscData!N8,MiscData!U4,experiment01319232728[[#This Row],[Value]]&lt;MiscData!O8,MiscData!U5,MiscData!U3),"")</f>
        <v>Not Configured</v>
      </c>
      <c r="D31" s="23" cm="1">
        <f t="array" ref="D31">_xlfn.SWITCH(B$29,"vbump",MiscData!N4,"fixed",MiscData!N8,"")</f>
        <v>0.2</v>
      </c>
      <c r="E31" s="17" cm="1">
        <f t="array" ref="E31">_xlfn.SWITCH(B$29,"vbump",MiscData!O4,"fixed",MiscData!O8,"")</f>
        <v>-0.2</v>
      </c>
    </row>
    <row r="32" spans="1:5" x14ac:dyDescent="0.3">
      <c r="A32" s="5" t="s">
        <v>22</v>
      </c>
      <c r="B32" s="2"/>
      <c r="C32" s="13" t="str" cm="1">
        <f t="array" ref="C32">_xlfn.SWITCH(TRUE,experiment01319232728[[#This Row],[Value]]="",MiscData!U15,experiment01319232728[[#This Row],[Value]]&gt;MiscData!Q3,MiscData!U4,experiment01319232728[[#This Row],[Value]]&lt;MiscData!R3,MiscData!U5,MiscData!U3)</f>
        <v>Not Configured</v>
      </c>
      <c r="D32" s="23">
        <f>MiscData!Q3</f>
        <v>44</v>
      </c>
      <c r="E32" s="17">
        <f>MiscData!R3</f>
        <v>5</v>
      </c>
    </row>
    <row r="33" spans="1:5" ht="15" thickBot="1" x14ac:dyDescent="0.35">
      <c r="A33" s="6" t="s">
        <v>23</v>
      </c>
      <c r="B33" s="7"/>
      <c r="C33" s="18" t="str" cm="1">
        <f t="array" ref="C33">_xlfn.SWITCH(TRUE,experiment01319232728[[#This Row],[Value]]="",MiscData!U15,experiment01319232728[[#This Row],[Value]]&gt;MiscData!Q4,MiscData!U4,experiment01319232728[[#This Row],[Value]]&lt;MiscData!R4,MiscData!U5,MiscData!U3)</f>
        <v>Not Configured</v>
      </c>
      <c r="D33" s="24">
        <f>MiscData!Q4</f>
        <v>22</v>
      </c>
      <c r="E33" s="19">
        <f>MiscData!R4</f>
        <v>8</v>
      </c>
    </row>
    <row r="34" spans="1:5" x14ac:dyDescent="0.3">
      <c r="A34" s="3" t="s">
        <v>39</v>
      </c>
      <c r="B34" s="4">
        <v>5</v>
      </c>
      <c r="C34" s="20" t="str" cm="1">
        <f t="array" ref="C34">_xlfn.SWITCH(B6,"Loops",MiscData!U6,MiscData!U14)</f>
        <v>Number of Loops to run</v>
      </c>
    </row>
    <row r="35" spans="1:5" x14ac:dyDescent="0.3">
      <c r="A35" s="5" t="s">
        <v>32</v>
      </c>
      <c r="B35" s="2" t="s">
        <v>79</v>
      </c>
      <c r="C35" s="21" t="str" cm="1">
        <f t="array" ref="C35">_xlfn.SWITCH($B$6,"Sweep",MiscData!U7,MiscData!$U$14)</f>
        <v>Not used</v>
      </c>
    </row>
    <row r="36" spans="1:5" x14ac:dyDescent="0.3">
      <c r="A36" s="5" t="s">
        <v>34</v>
      </c>
      <c r="B36" s="2" t="s">
        <v>35</v>
      </c>
      <c r="C36" s="21" t="str" cm="1">
        <f t="array" ref="C36">_xlfn.SWITCH($B$6,"Sweep",MiscData!U8,MiscData!$U$14)</f>
        <v>Not used</v>
      </c>
    </row>
    <row r="37" spans="1:5" x14ac:dyDescent="0.3">
      <c r="A37" s="5" t="s">
        <v>36</v>
      </c>
      <c r="B37" s="2">
        <v>-0.03</v>
      </c>
      <c r="C37" s="21" t="str" cm="1">
        <f t="array" ref="C37">_xlfn.SWITCH($B$6,"Sweep",MiscData!U9,MiscData!$U$14)</f>
        <v>Not used</v>
      </c>
    </row>
    <row r="38" spans="1:5" x14ac:dyDescent="0.3">
      <c r="A38" s="5" t="s">
        <v>37</v>
      </c>
      <c r="B38" s="2">
        <v>0.06</v>
      </c>
      <c r="C38" s="21" t="str" cm="1">
        <f t="array" ref="C38">_xlfn.SWITCH($B$6,"Sweep",MiscData!U10,MiscData!$U$14)</f>
        <v>Not used</v>
      </c>
    </row>
    <row r="39" spans="1:5" x14ac:dyDescent="0.3">
      <c r="A39" s="5" t="s">
        <v>38</v>
      </c>
      <c r="B39" s="2">
        <v>0.03</v>
      </c>
      <c r="C39" s="21" t="str" cm="1">
        <f t="array" ref="C39">_xlfn.SWITCH($B$6,"Sweep",MiscData!U11,MiscData!$U$14)</f>
        <v>Not used</v>
      </c>
    </row>
    <row r="40" spans="1:5" x14ac:dyDescent="0.3">
      <c r="A40" s="5" t="s">
        <v>40</v>
      </c>
      <c r="B40" s="2" t="s">
        <v>118</v>
      </c>
      <c r="C40" s="21" t="str" cm="1">
        <f t="array" ref="C40">_xlfn.SWITCH($B$6,"Shmoo",MiscData!U12,MiscData!$U$14)</f>
        <v>Not used</v>
      </c>
    </row>
    <row r="41" spans="1:5" ht="15" thickBot="1" x14ac:dyDescent="0.35">
      <c r="A41" s="5" t="s">
        <v>41</v>
      </c>
      <c r="B41" s="2" t="s">
        <v>42</v>
      </c>
      <c r="C41" s="21" t="str" cm="1">
        <f t="array" ref="C41">_xlfn.SWITCH($B$6,"Shmoo",MiscData!U13,MiscData!$U$14)</f>
        <v>Not used</v>
      </c>
    </row>
    <row r="42" spans="1:5" ht="14.4" customHeight="1" x14ac:dyDescent="0.3">
      <c r="A42" s="32" t="s">
        <v>148</v>
      </c>
      <c r="B42" s="35"/>
      <c r="C42" s="36" t="s">
        <v>155</v>
      </c>
      <c r="D42" s="45" t="s">
        <v>4</v>
      </c>
    </row>
    <row r="43" spans="1:5" x14ac:dyDescent="0.3">
      <c r="A43" s="33" t="s">
        <v>149</v>
      </c>
      <c r="B43" s="34"/>
      <c r="C43" s="37" t="s">
        <v>156</v>
      </c>
      <c r="D43" s="46"/>
    </row>
    <row r="44" spans="1:5" x14ac:dyDescent="0.3">
      <c r="A44" s="33" t="s">
        <v>210</v>
      </c>
      <c r="B44" s="41"/>
      <c r="C44" s="37" t="s">
        <v>211</v>
      </c>
      <c r="D44" s="46"/>
    </row>
    <row r="45" spans="1:5" x14ac:dyDescent="0.3">
      <c r="A45" s="33" t="s">
        <v>212</v>
      </c>
      <c r="B45" s="41"/>
      <c r="C45" s="37" t="s">
        <v>213</v>
      </c>
      <c r="D45" s="46"/>
    </row>
    <row r="46" spans="1:5" x14ac:dyDescent="0.3">
      <c r="A46" s="33" t="s">
        <v>150</v>
      </c>
      <c r="B46" s="34" t="s">
        <v>215</v>
      </c>
      <c r="C46" s="37" t="s">
        <v>157</v>
      </c>
      <c r="D46" s="46"/>
    </row>
    <row r="47" spans="1:5" x14ac:dyDescent="0.3">
      <c r="A47" s="33" t="s">
        <v>151</v>
      </c>
      <c r="B47" s="41" t="s">
        <v>273</v>
      </c>
      <c r="C47" s="37" t="s">
        <v>158</v>
      </c>
      <c r="D47" s="46"/>
    </row>
    <row r="48" spans="1:5" x14ac:dyDescent="0.3">
      <c r="A48" s="33" t="s">
        <v>152</v>
      </c>
      <c r="B48" s="41">
        <v>999999</v>
      </c>
      <c r="C48" s="37" t="s">
        <v>159</v>
      </c>
      <c r="D48" s="46"/>
    </row>
    <row r="49" spans="1:4" x14ac:dyDescent="0.3">
      <c r="A49" s="33" t="s">
        <v>153</v>
      </c>
      <c r="B49" s="41" t="s">
        <v>275</v>
      </c>
      <c r="C49" s="37" t="s">
        <v>194</v>
      </c>
      <c r="D49" s="46"/>
    </row>
    <row r="50" spans="1:4" x14ac:dyDescent="0.3">
      <c r="A50" s="33" t="s">
        <v>154</v>
      </c>
      <c r="B50" s="41"/>
      <c r="C50" s="37" t="s">
        <v>160</v>
      </c>
      <c r="D50" s="46"/>
    </row>
    <row r="51" spans="1:4" x14ac:dyDescent="0.3">
      <c r="A51" s="33" t="s">
        <v>214</v>
      </c>
      <c r="B51" s="41"/>
      <c r="C51" s="37" t="s">
        <v>160</v>
      </c>
      <c r="D51" s="46"/>
    </row>
    <row r="52" spans="1:4" ht="15" thickBot="1" x14ac:dyDescent="0.35">
      <c r="A52" s="33" t="s">
        <v>265</v>
      </c>
      <c r="B52" s="41"/>
      <c r="C52" s="37" t="s">
        <v>160</v>
      </c>
      <c r="D52" s="47"/>
    </row>
    <row r="53" spans="1:4" ht="14.4" customHeight="1" x14ac:dyDescent="0.3">
      <c r="A53" s="26" t="s">
        <v>161</v>
      </c>
      <c r="B53" s="27"/>
      <c r="C53" s="38" t="s">
        <v>176</v>
      </c>
      <c r="D53" s="48" t="s">
        <v>3</v>
      </c>
    </row>
    <row r="54" spans="1:4" x14ac:dyDescent="0.3">
      <c r="A54" s="28" t="s">
        <v>162</v>
      </c>
      <c r="B54" s="29"/>
      <c r="C54" s="39" t="s">
        <v>177</v>
      </c>
      <c r="D54" s="49"/>
    </row>
    <row r="55" spans="1:4" x14ac:dyDescent="0.3">
      <c r="A55" s="28" t="s">
        <v>163</v>
      </c>
      <c r="B55" s="29" t="s">
        <v>184</v>
      </c>
      <c r="C55" s="39" t="s">
        <v>178</v>
      </c>
      <c r="D55" s="49"/>
    </row>
    <row r="56" spans="1:4" x14ac:dyDescent="0.3">
      <c r="A56" s="28" t="s">
        <v>164</v>
      </c>
      <c r="B56" s="29" t="s">
        <v>183</v>
      </c>
      <c r="C56" s="39" t="s">
        <v>179</v>
      </c>
      <c r="D56" s="49"/>
    </row>
    <row r="57" spans="1:4" x14ac:dyDescent="0.3">
      <c r="A57" s="28" t="s">
        <v>165</v>
      </c>
      <c r="B57" s="29" t="s">
        <v>182</v>
      </c>
      <c r="C57" s="39" t="s">
        <v>180</v>
      </c>
      <c r="D57" s="49"/>
    </row>
    <row r="58" spans="1:4" x14ac:dyDescent="0.3">
      <c r="A58" s="28" t="s">
        <v>166</v>
      </c>
      <c r="B58" s="29" t="s">
        <v>130</v>
      </c>
      <c r="C58" s="39" t="s">
        <v>181</v>
      </c>
      <c r="D58" s="49"/>
    </row>
    <row r="59" spans="1:4" x14ac:dyDescent="0.3">
      <c r="A59" s="28" t="s">
        <v>167</v>
      </c>
      <c r="B59" s="29" t="s">
        <v>185</v>
      </c>
      <c r="C59" s="39" t="s">
        <v>200</v>
      </c>
      <c r="D59" s="49"/>
    </row>
    <row r="60" spans="1:4" x14ac:dyDescent="0.3">
      <c r="A60" s="28" t="s">
        <v>168</v>
      </c>
      <c r="B60" s="29">
        <v>80064000</v>
      </c>
      <c r="C60" s="39" t="s">
        <v>201</v>
      </c>
      <c r="D60" s="49"/>
    </row>
    <row r="61" spans="1:4" x14ac:dyDescent="0.3">
      <c r="A61" s="28" t="s">
        <v>169</v>
      </c>
      <c r="B61" s="29" t="s">
        <v>186</v>
      </c>
      <c r="C61" s="39" t="s">
        <v>202</v>
      </c>
      <c r="D61" s="49"/>
    </row>
    <row r="62" spans="1:4" x14ac:dyDescent="0.3">
      <c r="A62" s="28" t="s">
        <v>170</v>
      </c>
      <c r="B62" s="29" t="s">
        <v>204</v>
      </c>
      <c r="C62" s="39" t="s">
        <v>203</v>
      </c>
      <c r="D62" s="49"/>
    </row>
    <row r="63" spans="1:4" x14ac:dyDescent="0.3">
      <c r="A63" s="28" t="s">
        <v>171</v>
      </c>
      <c r="B63" s="29"/>
      <c r="C63" s="39" t="s">
        <v>192</v>
      </c>
      <c r="D63" s="49"/>
    </row>
    <row r="64" spans="1:4" x14ac:dyDescent="0.3">
      <c r="A64" s="28" t="s">
        <v>187</v>
      </c>
      <c r="B64" s="29" t="s">
        <v>230</v>
      </c>
      <c r="C64" s="39" t="s">
        <v>193</v>
      </c>
      <c r="D64" s="49"/>
    </row>
    <row r="65" spans="1:4" x14ac:dyDescent="0.3">
      <c r="A65" s="28" t="s">
        <v>172</v>
      </c>
      <c r="B65" s="29"/>
      <c r="C65" s="39" t="s">
        <v>195</v>
      </c>
      <c r="D65" s="49"/>
    </row>
    <row r="66" spans="1:4" x14ac:dyDescent="0.3">
      <c r="A66" s="28" t="s">
        <v>175</v>
      </c>
      <c r="B66" s="29" t="b">
        <v>1</v>
      </c>
      <c r="C66" s="39" t="s">
        <v>196</v>
      </c>
      <c r="D66" s="49"/>
    </row>
    <row r="67" spans="1:4" x14ac:dyDescent="0.3">
      <c r="A67" s="28" t="s">
        <v>189</v>
      </c>
      <c r="B67" s="29" t="s">
        <v>188</v>
      </c>
      <c r="C67" s="39" t="s">
        <v>197</v>
      </c>
      <c r="D67" s="49"/>
    </row>
    <row r="68" spans="1:4" x14ac:dyDescent="0.3">
      <c r="A68" s="28" t="s">
        <v>174</v>
      </c>
      <c r="B68" s="29" t="s">
        <v>190</v>
      </c>
      <c r="C68" s="39" t="s">
        <v>199</v>
      </c>
      <c r="D68" s="49"/>
    </row>
    <row r="69" spans="1:4" ht="15" thickBot="1" x14ac:dyDescent="0.35">
      <c r="A69" s="30" t="s">
        <v>173</v>
      </c>
      <c r="B69" s="31" t="s">
        <v>191</v>
      </c>
      <c r="C69" s="40" t="s">
        <v>198</v>
      </c>
      <c r="D69" s="50"/>
    </row>
  </sheetData>
  <mergeCells count="5">
    <mergeCell ref="A1:B1"/>
    <mergeCell ref="C1:C2"/>
    <mergeCell ref="D28:E28"/>
    <mergeCell ref="D42:D52"/>
    <mergeCell ref="D53:D69"/>
  </mergeCells>
  <conditionalFormatting sqref="A11:A15 C11:C15 A53:C69 A47:A52">
    <cfRule type="expression" dxfId="18" priority="9">
      <formula>$B$3="Disabled"</formula>
    </cfRule>
  </conditionalFormatting>
  <conditionalFormatting sqref="C47:C52 A47:A52">
    <cfRule type="expression" dxfId="17" priority="11">
      <formula>$B$16&lt;&gt;"Linux"</formula>
    </cfRule>
  </conditionalFormatting>
  <conditionalFormatting sqref="A4:C6 A7 C7 A8:C10">
    <cfRule type="expression" dxfId="16" priority="12">
      <formula>$B$3="Disabled"</formula>
    </cfRule>
  </conditionalFormatting>
  <conditionalFormatting sqref="A16:C46">
    <cfRule type="expression" dxfId="15" priority="4">
      <formula>$B$3="Disabled"</formula>
    </cfRule>
  </conditionalFormatting>
  <conditionalFormatting sqref="A24:C24">
    <cfRule type="expression" dxfId="13" priority="15">
      <formula>$B$5="Slice"</formula>
    </cfRule>
  </conditionalFormatting>
  <conditionalFormatting sqref="A42:C46">
    <cfRule type="expression" dxfId="9" priority="5">
      <formula>$B$16&lt;&gt;"Linux"</formula>
    </cfRule>
  </conditionalFormatting>
  <conditionalFormatting sqref="A53:C69">
    <cfRule type="expression" dxfId="8" priority="10">
      <formula>$B$16&lt;&gt;"Dragon"</formula>
    </cfRule>
  </conditionalFormatting>
  <conditionalFormatting sqref="B11:B15">
    <cfRule type="expression" dxfId="7" priority="3">
      <formula>$B$3="Disabled"</formula>
    </cfRule>
  </conditionalFormatting>
  <conditionalFormatting sqref="B47:B48 B50:B52">
    <cfRule type="expression" dxfId="6" priority="7">
      <formula>$B$3="Disabled"</formula>
    </cfRule>
    <cfRule type="expression" dxfId="5" priority="8">
      <formula>$B$16&lt;&gt;"Linux"</formula>
    </cfRule>
  </conditionalFormatting>
  <conditionalFormatting sqref="C42:C62">
    <cfRule type="expression" dxfId="4" priority="6">
      <formula>$B$3="Disabled"</formula>
    </cfRule>
  </conditionalFormatting>
  <conditionalFormatting sqref="B49">
    <cfRule type="expression" dxfId="1" priority="1">
      <formula>$B$3="Disabled"</formula>
    </cfRule>
    <cfRule type="expression" dxfId="0" priority="2">
      <formula>$B$16&lt;&gt;"Linux"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D4B98CED-2FBF-4337-A25E-360FA6F4C0E4}">
            <xm:f>MiscData!$C$1="AtomCore"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A24:C24</xm:sqref>
        </x14:conditionalFormatting>
        <x14:conditionalFormatting xmlns:xm="http://schemas.microsoft.com/office/excel/2006/main">
          <x14:cfRule type="expression" priority="16" id="{F37EFB82-D219-4A0C-9103-ABAAFB893EFA}">
            <xm:f>$C26=MiscData!$U$14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A26:C26</xm:sqref>
        </x14:conditionalFormatting>
        <x14:conditionalFormatting xmlns:xm="http://schemas.microsoft.com/office/excel/2006/main">
          <x14:cfRule type="expression" priority="13" id="{F24ACEC9-27A8-4C06-87FB-7A2D4ADFB754}">
            <xm:f>MiscData!$C$1="BigCore"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A27:C27</xm:sqref>
        </x14:conditionalFormatting>
        <x14:conditionalFormatting xmlns:xm="http://schemas.microsoft.com/office/excel/2006/main">
          <x14:cfRule type="expression" priority="17" id="{50D78B7A-3981-4B7F-94B7-7FDF419AFC7F}">
            <xm:f>$C34=MiscData!$U$14</xm:f>
            <x14:dxf>
              <font>
                <strike/>
                <u val="none"/>
                <color theme="2"/>
              </font>
              <fill>
                <patternFill>
                  <bgColor theme="2" tint="-0.499984740745262"/>
                </patternFill>
              </fill>
            </x14:dxf>
          </x14:cfRule>
          <xm:sqref>A34:C41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672599C6-82A1-49D3-8A2C-0918CD796792}">
          <x14:formula1>
            <xm:f>_xlfn.SWITCH(B5,"Mesh",_xlfn._TRO_TRAILING(MiscData!AA2:AA20),"Slice",_xlfn.ANCHORARRAY(MiscData!AC2),"")</xm:f>
          </x14:formula1>
          <xm:sqref>B25:B26</xm:sqref>
        </x14:dataValidation>
        <x14:dataValidation type="list" allowBlank="1" showInputMessage="1" showErrorMessage="1" xr:uid="{68C2B095-2CE1-47DA-8D7C-4ADD5C97E740}">
          <x14:formula1>
            <xm:f>_xlfn._TRO_TRAILING(MiscData!$G$3:$G$10)</xm:f>
          </x14:formula1>
          <xm:sqref>B27</xm:sqref>
        </x14:dataValidation>
        <x14:dataValidation type="list" allowBlank="1" showInputMessage="1" showErrorMessage="1" xr:uid="{F4D14C19-8D21-4BB5-9A1E-4C0A6F89A6AB}">
          <x14:formula1>
            <xm:f>_xlfn._TRO_TRAILING(MiscData!$A$3:$A$10)</xm:f>
          </x14:formula1>
          <xm:sqref>B3</xm:sqref>
        </x14:dataValidation>
        <x14:dataValidation type="list" allowBlank="1" showInputMessage="1" showErrorMessage="1" xr:uid="{3A89825E-45C1-4A2F-9F14-DBE649029D21}">
          <x14:formula1>
            <xm:f>_xlfn._TRO_TRAILING(MiscData!$F$3:$F$8)</xm:f>
          </x14:formula1>
          <xm:sqref>B16</xm:sqref>
        </x14:dataValidation>
        <x14:dataValidation type="list" allowBlank="1" showInputMessage="1" showErrorMessage="1" xr:uid="{4A683EC5-32FD-47C8-B383-929DD86D4F5A}">
          <x14:formula1>
            <xm:f>_xlfn._TRO_TRAILING(MiscData!$C$3:$C$7)</xm:f>
          </x14:formula1>
          <xm:sqref>B35</xm:sqref>
        </x14:dataValidation>
        <x14:dataValidation type="list" allowBlank="1" showInputMessage="1" showErrorMessage="1" xr:uid="{EB41376C-482B-4D9A-A4E2-CC4EBF90B0D0}">
          <x14:formula1>
            <xm:f>_xlfn._TRO_TRAILING(MiscData!$D$3:$D$6)</xm:f>
          </x14:formula1>
          <xm:sqref>B36</xm:sqref>
        </x14:dataValidation>
        <x14:dataValidation type="list" allowBlank="1" showInputMessage="1" showErrorMessage="1" xr:uid="{BE3D5767-2C32-49C1-BA66-A6436AD51943}">
          <x14:formula1>
            <xm:f>MiscData!$B$3:$B$4</xm:f>
          </x14:formula1>
          <xm:sqref>B19:B24</xm:sqref>
        </x14:dataValidation>
        <x14:dataValidation type="list" allowBlank="1" showInputMessage="1" showErrorMessage="1" xr:uid="{06158A3C-CD01-4D95-8E55-150FE0D82D8C}">
          <x14:formula1>
            <xm:f>_xlfn._TRO_TRAILING(MiscData!$J$3:$J$10)</xm:f>
          </x14:formula1>
          <xm:sqref>B22</xm:sqref>
        </x14:dataValidation>
        <x14:dataValidation type="list" allowBlank="1" showInputMessage="1" showErrorMessage="1" xr:uid="{445DE9E2-3C9B-4BFD-B9F6-ACBBCBDA4322}">
          <x14:formula1>
            <xm:f>_xlfn._TRO_TRAILING(MiscData!$I$3:$I$10)</xm:f>
          </x14:formula1>
          <xm:sqref>B29</xm:sqref>
        </x14:dataValidation>
        <x14:dataValidation type="list" allowBlank="1" showInputMessage="1" showErrorMessage="1" xr:uid="{8FFD552C-E6CD-4D56-89BD-411C3A8EECCB}">
          <x14:formula1>
            <xm:f>_xlfn._TRO_TRAILING(MiscData!$H$3:$H$7)</xm:f>
          </x14:formula1>
          <xm:sqref>B6</xm:sqref>
        </x14:dataValidation>
        <x14:dataValidation type="list" allowBlank="1" showInputMessage="1" showErrorMessage="1" xr:uid="{6820961B-D780-4730-BCE0-2B47CD062886}">
          <x14:formula1>
            <xm:f>_xlfn._TRO_TRAILING(MiscData!$E$3:$E$6)</xm:f>
          </x14:formula1>
          <xm:sqref>B5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F9825-171C-41A7-9390-8ADED016B874}">
  <dimension ref="A1:AD181"/>
  <sheetViews>
    <sheetView workbookViewId="0">
      <selection activeCell="J4" sqref="J4:J10"/>
    </sheetView>
  </sheetViews>
  <sheetFormatPr defaultRowHeight="14.4" x14ac:dyDescent="0.3"/>
  <cols>
    <col min="5" max="5" width="10.5546875" bestFit="1" customWidth="1"/>
    <col min="6" max="6" width="11.6640625" bestFit="1" customWidth="1"/>
    <col min="7" max="7" width="8.33203125" bestFit="1" customWidth="1"/>
    <col min="8" max="8" width="8.6640625" bestFit="1" customWidth="1"/>
    <col min="9" max="9" width="11.6640625" bestFit="1" customWidth="1"/>
    <col min="10" max="10" width="16.33203125" bestFit="1" customWidth="1"/>
    <col min="11" max="11" width="12.88671875" bestFit="1" customWidth="1"/>
    <col min="12" max="12" width="96.88671875" bestFit="1" customWidth="1"/>
    <col min="13" max="13" width="9.88671875" customWidth="1"/>
    <col min="16" max="16" width="12.109375" customWidth="1"/>
    <col min="20" max="20" width="11.5546875" bestFit="1" customWidth="1"/>
    <col min="21" max="21" width="51.6640625" bestFit="1" customWidth="1"/>
    <col min="27" max="27" width="9.6640625" bestFit="1" customWidth="1"/>
  </cols>
  <sheetData>
    <row r="1" spans="1:30" x14ac:dyDescent="0.3">
      <c r="A1" t="s">
        <v>122</v>
      </c>
      <c r="B1" t="s">
        <v>130</v>
      </c>
      <c r="C1" t="s">
        <v>136</v>
      </c>
      <c r="X1" t="s">
        <v>113</v>
      </c>
      <c r="Y1" t="s">
        <v>122</v>
      </c>
      <c r="Z1" t="s">
        <v>131</v>
      </c>
      <c r="AA1" t="s">
        <v>114</v>
      </c>
      <c r="AB1" t="s">
        <v>113</v>
      </c>
      <c r="AC1" t="s">
        <v>114</v>
      </c>
      <c r="AD1" t="s">
        <v>99</v>
      </c>
    </row>
    <row r="2" spans="1:30" x14ac:dyDescent="0.3">
      <c r="A2" t="s">
        <v>110</v>
      </c>
      <c r="B2" t="s">
        <v>77</v>
      </c>
      <c r="C2" t="s">
        <v>10</v>
      </c>
      <c r="D2" t="s">
        <v>34</v>
      </c>
      <c r="E2" t="s">
        <v>43</v>
      </c>
      <c r="F2" t="s">
        <v>5</v>
      </c>
      <c r="G2" t="s">
        <v>124</v>
      </c>
      <c r="H2" t="s">
        <v>9</v>
      </c>
      <c r="I2" t="s">
        <v>16</v>
      </c>
      <c r="J2" t="s">
        <v>28</v>
      </c>
      <c r="K2" t="s">
        <v>46</v>
      </c>
      <c r="L2" t="s">
        <v>60</v>
      </c>
      <c r="M2" t="s">
        <v>61</v>
      </c>
      <c r="N2" t="s">
        <v>62</v>
      </c>
      <c r="O2" t="s">
        <v>63</v>
      </c>
      <c r="P2" t="s">
        <v>33</v>
      </c>
      <c r="Q2" t="s">
        <v>62</v>
      </c>
      <c r="R2" t="s">
        <v>63</v>
      </c>
      <c r="T2" t="s">
        <v>71</v>
      </c>
      <c r="U2" t="s">
        <v>72</v>
      </c>
      <c r="Z2" t="str">
        <f>""</f>
        <v/>
      </c>
      <c r="AA2" t="str">
        <f>""</f>
        <v/>
      </c>
      <c r="AB2" t="s">
        <v>44</v>
      </c>
      <c r="AC2" cm="1">
        <f t="array" ref="AC2:AC181">_xlfn.SEQUENCE(180,1,0,1)</f>
        <v>0</v>
      </c>
    </row>
    <row r="3" spans="1:30" x14ac:dyDescent="0.3">
      <c r="A3" t="s">
        <v>111</v>
      </c>
      <c r="B3" t="b">
        <v>1</v>
      </c>
      <c r="C3" t="s">
        <v>79</v>
      </c>
      <c r="D3" t="s">
        <v>35</v>
      </c>
      <c r="E3" t="s">
        <v>8</v>
      </c>
      <c r="F3" t="s">
        <v>3</v>
      </c>
      <c r="H3" t="s">
        <v>39</v>
      </c>
      <c r="I3" t="s">
        <v>17</v>
      </c>
      <c r="K3" t="s">
        <v>44</v>
      </c>
      <c r="L3" t="s">
        <v>47</v>
      </c>
      <c r="M3" t="s">
        <v>35</v>
      </c>
      <c r="N3">
        <v>0.2</v>
      </c>
      <c r="O3">
        <v>-0.2</v>
      </c>
      <c r="P3" t="s">
        <v>35</v>
      </c>
      <c r="Q3">
        <v>44</v>
      </c>
      <c r="R3">
        <v>5</v>
      </c>
      <c r="T3" t="s">
        <v>66</v>
      </c>
      <c r="U3" t="s">
        <v>104</v>
      </c>
      <c r="X3" t="s">
        <v>8</v>
      </c>
      <c r="Y3" t="s">
        <v>130</v>
      </c>
      <c r="Z3" t="s">
        <v>93</v>
      </c>
      <c r="AA3" t="str" cm="1">
        <f t="array" ref="AA3:AA8">_xlfn._xlws.FILTER(Z3:Z18,Y3:Y18=B1,"")</f>
        <v>RowPass1</v>
      </c>
      <c r="AB3" t="s">
        <v>44</v>
      </c>
      <c r="AC3">
        <v>1</v>
      </c>
      <c r="AD3" t="str" cm="1">
        <f t="array" ref="AD3:AD9">_xlfn.SWITCH(BaselineMesh!B5,"Mesh",_xlfn._TRO_TRAILING(MiscData!AA2:AA20),"Slice",_xlfn.ANCHORARRAY(MiscData!AC2),"")</f>
        <v/>
      </c>
    </row>
    <row r="4" spans="1:30" x14ac:dyDescent="0.3">
      <c r="A4" t="s">
        <v>112</v>
      </c>
      <c r="B4" t="b">
        <v>0</v>
      </c>
      <c r="C4" t="s">
        <v>33</v>
      </c>
      <c r="D4" t="s">
        <v>64</v>
      </c>
      <c r="E4" t="s">
        <v>44</v>
      </c>
      <c r="F4" t="s">
        <v>4</v>
      </c>
      <c r="G4" t="s">
        <v>127</v>
      </c>
      <c r="H4" t="s">
        <v>10</v>
      </c>
      <c r="I4" t="s">
        <v>49</v>
      </c>
      <c r="J4" t="s">
        <v>50</v>
      </c>
      <c r="K4" t="s">
        <v>8</v>
      </c>
      <c r="L4" t="s">
        <v>48</v>
      </c>
      <c r="M4" t="s">
        <v>64</v>
      </c>
      <c r="N4">
        <v>0.2</v>
      </c>
      <c r="O4">
        <v>-0.2</v>
      </c>
      <c r="P4" t="s">
        <v>64</v>
      </c>
      <c r="Q4">
        <v>22</v>
      </c>
      <c r="R4">
        <v>8</v>
      </c>
      <c r="T4" t="s">
        <v>67</v>
      </c>
      <c r="U4" t="s">
        <v>69</v>
      </c>
      <c r="X4" t="s">
        <v>8</v>
      </c>
      <c r="Y4" t="s">
        <v>130</v>
      </c>
      <c r="Z4" t="s">
        <v>94</v>
      </c>
      <c r="AA4" t="str">
        <v>RowPass2</v>
      </c>
      <c r="AB4" t="s">
        <v>44</v>
      </c>
      <c r="AC4">
        <v>2</v>
      </c>
      <c r="AD4" t="str">
        <v>RowPass1</v>
      </c>
    </row>
    <row r="5" spans="1:30" ht="15" thickBot="1" x14ac:dyDescent="0.35">
      <c r="F5" t="s">
        <v>137</v>
      </c>
      <c r="G5" t="s">
        <v>126</v>
      </c>
      <c r="H5" t="s">
        <v>45</v>
      </c>
      <c r="I5" t="s">
        <v>207</v>
      </c>
      <c r="J5" t="s">
        <v>51</v>
      </c>
      <c r="T5" t="s">
        <v>68</v>
      </c>
      <c r="U5" t="s">
        <v>70</v>
      </c>
      <c r="X5" t="s">
        <v>8</v>
      </c>
      <c r="Y5" t="s">
        <v>130</v>
      </c>
      <c r="Z5" t="s">
        <v>95</v>
      </c>
      <c r="AA5" t="str">
        <v>RowPass3</v>
      </c>
      <c r="AB5" t="s">
        <v>44</v>
      </c>
      <c r="AC5">
        <v>3</v>
      </c>
      <c r="AD5" t="str">
        <v>RowPass2</v>
      </c>
    </row>
    <row r="6" spans="1:30" ht="15" thickBot="1" x14ac:dyDescent="0.35">
      <c r="G6" t="s">
        <v>128</v>
      </c>
      <c r="J6" t="s">
        <v>52</v>
      </c>
      <c r="M6" t="s">
        <v>65</v>
      </c>
      <c r="N6" t="s">
        <v>62</v>
      </c>
      <c r="O6" t="s">
        <v>63</v>
      </c>
      <c r="T6" s="8" t="s">
        <v>39</v>
      </c>
      <c r="U6" t="s">
        <v>80</v>
      </c>
      <c r="X6" t="s">
        <v>8</v>
      </c>
      <c r="Y6" t="s">
        <v>130</v>
      </c>
      <c r="Z6" t="s">
        <v>96</v>
      </c>
      <c r="AA6" t="str">
        <v>FirstPass</v>
      </c>
      <c r="AB6" t="s">
        <v>44</v>
      </c>
      <c r="AC6">
        <v>4</v>
      </c>
      <c r="AD6" t="str">
        <v>RowPass3</v>
      </c>
    </row>
    <row r="7" spans="1:30" x14ac:dyDescent="0.3">
      <c r="G7" t="s">
        <v>125</v>
      </c>
      <c r="J7" t="s">
        <v>53</v>
      </c>
      <c r="M7" t="s">
        <v>35</v>
      </c>
      <c r="N7">
        <v>1.2</v>
      </c>
      <c r="O7">
        <v>0.4</v>
      </c>
      <c r="T7" s="9" t="s">
        <v>32</v>
      </c>
      <c r="U7" t="s">
        <v>84</v>
      </c>
      <c r="X7" t="s">
        <v>8</v>
      </c>
      <c r="Y7" t="s">
        <v>130</v>
      </c>
      <c r="Z7" t="s">
        <v>97</v>
      </c>
      <c r="AA7" t="str">
        <v>SecondPass</v>
      </c>
      <c r="AB7" t="s">
        <v>44</v>
      </c>
      <c r="AC7">
        <v>5</v>
      </c>
      <c r="AD7" t="str">
        <v>FirstPass</v>
      </c>
    </row>
    <row r="8" spans="1:30" x14ac:dyDescent="0.3">
      <c r="G8" t="s">
        <v>129</v>
      </c>
      <c r="J8" t="s">
        <v>54</v>
      </c>
      <c r="M8" t="s">
        <v>64</v>
      </c>
      <c r="N8">
        <v>1.2</v>
      </c>
      <c r="O8">
        <v>0.4</v>
      </c>
      <c r="T8" s="10" t="s">
        <v>34</v>
      </c>
      <c r="U8" t="s">
        <v>83</v>
      </c>
      <c r="X8" t="s">
        <v>8</v>
      </c>
      <c r="Y8" t="s">
        <v>130</v>
      </c>
      <c r="Z8" t="s">
        <v>98</v>
      </c>
      <c r="AA8" t="str">
        <v>ThirdPass</v>
      </c>
      <c r="AB8" t="s">
        <v>44</v>
      </c>
      <c r="AC8">
        <v>6</v>
      </c>
      <c r="AD8" t="str">
        <v>SecondPass</v>
      </c>
    </row>
    <row r="9" spans="1:30" x14ac:dyDescent="0.3">
      <c r="J9" t="s">
        <v>55</v>
      </c>
      <c r="T9" s="10" t="s">
        <v>36</v>
      </c>
      <c r="U9" t="s">
        <v>108</v>
      </c>
      <c r="X9" t="s">
        <v>8</v>
      </c>
      <c r="Y9" t="s">
        <v>123</v>
      </c>
      <c r="Z9" t="s">
        <v>93</v>
      </c>
      <c r="AB9" t="s">
        <v>44</v>
      </c>
      <c r="AC9">
        <v>7</v>
      </c>
      <c r="AD9" t="str">
        <v>ThirdPass</v>
      </c>
    </row>
    <row r="10" spans="1:30" x14ac:dyDescent="0.3">
      <c r="J10" t="s">
        <v>56</v>
      </c>
      <c r="T10" s="10" t="s">
        <v>37</v>
      </c>
      <c r="U10" t="s">
        <v>109</v>
      </c>
      <c r="X10" t="s">
        <v>8</v>
      </c>
      <c r="Y10" t="s">
        <v>123</v>
      </c>
      <c r="Z10" t="s">
        <v>94</v>
      </c>
      <c r="AB10" t="s">
        <v>44</v>
      </c>
      <c r="AC10">
        <v>8</v>
      </c>
    </row>
    <row r="11" spans="1:30" ht="15" thickBot="1" x14ac:dyDescent="0.35">
      <c r="T11" s="11" t="s">
        <v>38</v>
      </c>
      <c r="U11" t="s">
        <v>85</v>
      </c>
      <c r="X11" t="s">
        <v>8</v>
      </c>
      <c r="Y11" t="s">
        <v>123</v>
      </c>
      <c r="Z11" t="s">
        <v>96</v>
      </c>
      <c r="AB11" t="s">
        <v>44</v>
      </c>
      <c r="AC11">
        <v>9</v>
      </c>
    </row>
    <row r="12" spans="1:30" x14ac:dyDescent="0.3">
      <c r="T12" s="9" t="s">
        <v>40</v>
      </c>
      <c r="U12" t="s">
        <v>86</v>
      </c>
      <c r="X12" t="s">
        <v>8</v>
      </c>
      <c r="Y12" t="s">
        <v>123</v>
      </c>
      <c r="Z12" t="s">
        <v>97</v>
      </c>
      <c r="AB12" t="s">
        <v>44</v>
      </c>
      <c r="AC12">
        <v>10</v>
      </c>
    </row>
    <row r="13" spans="1:30" x14ac:dyDescent="0.3">
      <c r="T13" s="12" t="s">
        <v>41</v>
      </c>
      <c r="U13" t="s">
        <v>87</v>
      </c>
      <c r="X13" t="s">
        <v>8</v>
      </c>
      <c r="AB13" t="s">
        <v>44</v>
      </c>
      <c r="AC13">
        <v>11</v>
      </c>
    </row>
    <row r="14" spans="1:30" x14ac:dyDescent="0.3">
      <c r="T14" t="s">
        <v>81</v>
      </c>
      <c r="U14" t="s">
        <v>82</v>
      </c>
      <c r="X14" t="s">
        <v>8</v>
      </c>
      <c r="AB14" t="s">
        <v>44</v>
      </c>
      <c r="AC14">
        <v>12</v>
      </c>
    </row>
    <row r="15" spans="1:30" x14ac:dyDescent="0.3">
      <c r="T15" t="s">
        <v>101</v>
      </c>
      <c r="U15" t="s">
        <v>100</v>
      </c>
      <c r="X15" t="s">
        <v>8</v>
      </c>
      <c r="AB15" t="s">
        <v>44</v>
      </c>
      <c r="AC15">
        <v>13</v>
      </c>
    </row>
    <row r="16" spans="1:30" x14ac:dyDescent="0.3">
      <c r="T16" t="s">
        <v>116</v>
      </c>
      <c r="U16" t="s">
        <v>117</v>
      </c>
      <c r="X16" t="s">
        <v>8</v>
      </c>
      <c r="AB16" t="s">
        <v>44</v>
      </c>
      <c r="AC16">
        <v>14</v>
      </c>
    </row>
    <row r="17" spans="20:29" x14ac:dyDescent="0.3">
      <c r="T17" t="s">
        <v>120</v>
      </c>
      <c r="U17" t="s">
        <v>121</v>
      </c>
      <c r="X17" t="s">
        <v>8</v>
      </c>
      <c r="AB17" t="s">
        <v>44</v>
      </c>
      <c r="AC17">
        <v>15</v>
      </c>
    </row>
    <row r="18" spans="20:29" x14ac:dyDescent="0.3">
      <c r="T18" t="s">
        <v>137</v>
      </c>
      <c r="U18" t="s">
        <v>146</v>
      </c>
      <c r="X18" t="s">
        <v>8</v>
      </c>
      <c r="AB18" t="s">
        <v>44</v>
      </c>
      <c r="AC18">
        <v>16</v>
      </c>
    </row>
    <row r="19" spans="20:29" x14ac:dyDescent="0.3">
      <c r="AB19" t="s">
        <v>44</v>
      </c>
      <c r="AC19">
        <v>17</v>
      </c>
    </row>
    <row r="20" spans="20:29" x14ac:dyDescent="0.3">
      <c r="AB20" t="s">
        <v>44</v>
      </c>
      <c r="AC20">
        <v>18</v>
      </c>
    </row>
    <row r="21" spans="20:29" x14ac:dyDescent="0.3">
      <c r="AB21" t="s">
        <v>44</v>
      </c>
      <c r="AC21">
        <v>19</v>
      </c>
    </row>
    <row r="22" spans="20:29" x14ac:dyDescent="0.3">
      <c r="AB22" t="s">
        <v>44</v>
      </c>
      <c r="AC22">
        <v>20</v>
      </c>
    </row>
    <row r="23" spans="20:29" x14ac:dyDescent="0.3">
      <c r="AB23" t="s">
        <v>44</v>
      </c>
      <c r="AC23">
        <v>21</v>
      </c>
    </row>
    <row r="24" spans="20:29" x14ac:dyDescent="0.3">
      <c r="AB24" t="s">
        <v>44</v>
      </c>
      <c r="AC24">
        <v>22</v>
      </c>
    </row>
    <row r="25" spans="20:29" x14ac:dyDescent="0.3">
      <c r="AB25" t="s">
        <v>44</v>
      </c>
      <c r="AC25">
        <v>23</v>
      </c>
    </row>
    <row r="26" spans="20:29" x14ac:dyDescent="0.3">
      <c r="AB26" t="s">
        <v>44</v>
      </c>
      <c r="AC26">
        <v>24</v>
      </c>
    </row>
    <row r="27" spans="20:29" x14ac:dyDescent="0.3">
      <c r="AB27" t="s">
        <v>44</v>
      </c>
      <c r="AC27">
        <v>25</v>
      </c>
    </row>
    <row r="28" spans="20:29" x14ac:dyDescent="0.3">
      <c r="AB28" t="s">
        <v>44</v>
      </c>
      <c r="AC28">
        <v>26</v>
      </c>
    </row>
    <row r="29" spans="20:29" x14ac:dyDescent="0.3">
      <c r="AB29" t="s">
        <v>44</v>
      </c>
      <c r="AC29">
        <v>27</v>
      </c>
    </row>
    <row r="30" spans="20:29" x14ac:dyDescent="0.3">
      <c r="AB30" t="s">
        <v>44</v>
      </c>
      <c r="AC30">
        <v>28</v>
      </c>
    </row>
    <row r="31" spans="20:29" x14ac:dyDescent="0.3">
      <c r="AB31" t="s">
        <v>44</v>
      </c>
      <c r="AC31">
        <v>29</v>
      </c>
    </row>
    <row r="32" spans="20:29" x14ac:dyDescent="0.3">
      <c r="AB32" t="s">
        <v>44</v>
      </c>
      <c r="AC32">
        <v>30</v>
      </c>
    </row>
    <row r="33" spans="28:29" x14ac:dyDescent="0.3">
      <c r="AB33" t="s">
        <v>44</v>
      </c>
      <c r="AC33">
        <v>31</v>
      </c>
    </row>
    <row r="34" spans="28:29" x14ac:dyDescent="0.3">
      <c r="AB34" t="s">
        <v>44</v>
      </c>
      <c r="AC34">
        <v>32</v>
      </c>
    </row>
    <row r="35" spans="28:29" x14ac:dyDescent="0.3">
      <c r="AB35" t="s">
        <v>44</v>
      </c>
      <c r="AC35">
        <v>33</v>
      </c>
    </row>
    <row r="36" spans="28:29" x14ac:dyDescent="0.3">
      <c r="AB36" t="s">
        <v>44</v>
      </c>
      <c r="AC36">
        <v>34</v>
      </c>
    </row>
    <row r="37" spans="28:29" x14ac:dyDescent="0.3">
      <c r="AB37" t="s">
        <v>44</v>
      </c>
      <c r="AC37">
        <v>35</v>
      </c>
    </row>
    <row r="38" spans="28:29" x14ac:dyDescent="0.3">
      <c r="AB38" t="s">
        <v>44</v>
      </c>
      <c r="AC38">
        <v>36</v>
      </c>
    </row>
    <row r="39" spans="28:29" x14ac:dyDescent="0.3">
      <c r="AB39" t="s">
        <v>44</v>
      </c>
      <c r="AC39">
        <v>37</v>
      </c>
    </row>
    <row r="40" spans="28:29" x14ac:dyDescent="0.3">
      <c r="AB40" t="s">
        <v>44</v>
      </c>
      <c r="AC40">
        <v>38</v>
      </c>
    </row>
    <row r="41" spans="28:29" x14ac:dyDescent="0.3">
      <c r="AB41" t="s">
        <v>44</v>
      </c>
      <c r="AC41">
        <v>39</v>
      </c>
    </row>
    <row r="42" spans="28:29" x14ac:dyDescent="0.3">
      <c r="AB42" t="s">
        <v>44</v>
      </c>
      <c r="AC42">
        <v>40</v>
      </c>
    </row>
    <row r="43" spans="28:29" x14ac:dyDescent="0.3">
      <c r="AB43" t="s">
        <v>44</v>
      </c>
      <c r="AC43">
        <v>41</v>
      </c>
    </row>
    <row r="44" spans="28:29" x14ac:dyDescent="0.3">
      <c r="AB44" t="s">
        <v>44</v>
      </c>
      <c r="AC44">
        <v>42</v>
      </c>
    </row>
    <row r="45" spans="28:29" x14ac:dyDescent="0.3">
      <c r="AB45" t="s">
        <v>44</v>
      </c>
      <c r="AC45">
        <v>43</v>
      </c>
    </row>
    <row r="46" spans="28:29" x14ac:dyDescent="0.3">
      <c r="AB46" t="s">
        <v>44</v>
      </c>
      <c r="AC46">
        <v>44</v>
      </c>
    </row>
    <row r="47" spans="28:29" x14ac:dyDescent="0.3">
      <c r="AB47" t="s">
        <v>44</v>
      </c>
      <c r="AC47">
        <v>45</v>
      </c>
    </row>
    <row r="48" spans="28:29" x14ac:dyDescent="0.3">
      <c r="AB48" t="s">
        <v>44</v>
      </c>
      <c r="AC48">
        <v>46</v>
      </c>
    </row>
    <row r="49" spans="28:29" x14ac:dyDescent="0.3">
      <c r="AB49" t="s">
        <v>44</v>
      </c>
      <c r="AC49">
        <v>47</v>
      </c>
    </row>
    <row r="50" spans="28:29" x14ac:dyDescent="0.3">
      <c r="AB50" t="s">
        <v>44</v>
      </c>
      <c r="AC50">
        <v>48</v>
      </c>
    </row>
    <row r="51" spans="28:29" x14ac:dyDescent="0.3">
      <c r="AB51" t="s">
        <v>44</v>
      </c>
      <c r="AC51">
        <v>49</v>
      </c>
    </row>
    <row r="52" spans="28:29" x14ac:dyDescent="0.3">
      <c r="AB52" t="s">
        <v>44</v>
      </c>
      <c r="AC52">
        <v>50</v>
      </c>
    </row>
    <row r="53" spans="28:29" x14ac:dyDescent="0.3">
      <c r="AB53" t="s">
        <v>44</v>
      </c>
      <c r="AC53">
        <v>51</v>
      </c>
    </row>
    <row r="54" spans="28:29" x14ac:dyDescent="0.3">
      <c r="AB54" t="s">
        <v>44</v>
      </c>
      <c r="AC54">
        <v>52</v>
      </c>
    </row>
    <row r="55" spans="28:29" x14ac:dyDescent="0.3">
      <c r="AB55" t="s">
        <v>44</v>
      </c>
      <c r="AC55">
        <v>53</v>
      </c>
    </row>
    <row r="56" spans="28:29" x14ac:dyDescent="0.3">
      <c r="AB56" t="s">
        <v>44</v>
      </c>
      <c r="AC56">
        <v>54</v>
      </c>
    </row>
    <row r="57" spans="28:29" x14ac:dyDescent="0.3">
      <c r="AB57" t="s">
        <v>44</v>
      </c>
      <c r="AC57">
        <v>55</v>
      </c>
    </row>
    <row r="58" spans="28:29" x14ac:dyDescent="0.3">
      <c r="AB58" t="s">
        <v>44</v>
      </c>
      <c r="AC58">
        <v>56</v>
      </c>
    </row>
    <row r="59" spans="28:29" x14ac:dyDescent="0.3">
      <c r="AB59" t="s">
        <v>44</v>
      </c>
      <c r="AC59">
        <v>57</v>
      </c>
    </row>
    <row r="60" spans="28:29" x14ac:dyDescent="0.3">
      <c r="AB60" t="s">
        <v>44</v>
      </c>
      <c r="AC60">
        <v>58</v>
      </c>
    </row>
    <row r="61" spans="28:29" x14ac:dyDescent="0.3">
      <c r="AB61" t="s">
        <v>44</v>
      </c>
      <c r="AC61">
        <v>59</v>
      </c>
    </row>
    <row r="62" spans="28:29" x14ac:dyDescent="0.3">
      <c r="AB62" t="s">
        <v>44</v>
      </c>
      <c r="AC62">
        <v>60</v>
      </c>
    </row>
    <row r="63" spans="28:29" x14ac:dyDescent="0.3">
      <c r="AB63" t="s">
        <v>44</v>
      </c>
      <c r="AC63">
        <v>61</v>
      </c>
    </row>
    <row r="64" spans="28:29" x14ac:dyDescent="0.3">
      <c r="AB64" t="s">
        <v>44</v>
      </c>
      <c r="AC64">
        <v>62</v>
      </c>
    </row>
    <row r="65" spans="28:29" x14ac:dyDescent="0.3">
      <c r="AB65" t="s">
        <v>44</v>
      </c>
      <c r="AC65">
        <v>63</v>
      </c>
    </row>
    <row r="66" spans="28:29" x14ac:dyDescent="0.3">
      <c r="AB66" t="s">
        <v>44</v>
      </c>
      <c r="AC66">
        <v>64</v>
      </c>
    </row>
    <row r="67" spans="28:29" x14ac:dyDescent="0.3">
      <c r="AB67" t="s">
        <v>44</v>
      </c>
      <c r="AC67">
        <v>65</v>
      </c>
    </row>
    <row r="68" spans="28:29" x14ac:dyDescent="0.3">
      <c r="AB68" t="s">
        <v>44</v>
      </c>
      <c r="AC68">
        <v>66</v>
      </c>
    </row>
    <row r="69" spans="28:29" x14ac:dyDescent="0.3">
      <c r="AB69" t="s">
        <v>44</v>
      </c>
      <c r="AC69">
        <v>67</v>
      </c>
    </row>
    <row r="70" spans="28:29" x14ac:dyDescent="0.3">
      <c r="AB70" t="s">
        <v>44</v>
      </c>
      <c r="AC70">
        <v>68</v>
      </c>
    </row>
    <row r="71" spans="28:29" x14ac:dyDescent="0.3">
      <c r="AB71" t="s">
        <v>44</v>
      </c>
      <c r="AC71">
        <v>69</v>
      </c>
    </row>
    <row r="72" spans="28:29" x14ac:dyDescent="0.3">
      <c r="AB72" t="s">
        <v>44</v>
      </c>
      <c r="AC72">
        <v>70</v>
      </c>
    </row>
    <row r="73" spans="28:29" x14ac:dyDescent="0.3">
      <c r="AB73" t="s">
        <v>44</v>
      </c>
      <c r="AC73">
        <v>71</v>
      </c>
    </row>
    <row r="74" spans="28:29" x14ac:dyDescent="0.3">
      <c r="AB74" t="s">
        <v>44</v>
      </c>
      <c r="AC74">
        <v>72</v>
      </c>
    </row>
    <row r="75" spans="28:29" x14ac:dyDescent="0.3">
      <c r="AB75" t="s">
        <v>44</v>
      </c>
      <c r="AC75">
        <v>73</v>
      </c>
    </row>
    <row r="76" spans="28:29" x14ac:dyDescent="0.3">
      <c r="AB76" t="s">
        <v>44</v>
      </c>
      <c r="AC76">
        <v>74</v>
      </c>
    </row>
    <row r="77" spans="28:29" x14ac:dyDescent="0.3">
      <c r="AB77" t="s">
        <v>44</v>
      </c>
      <c r="AC77">
        <v>75</v>
      </c>
    </row>
    <row r="78" spans="28:29" x14ac:dyDescent="0.3">
      <c r="AB78" t="s">
        <v>44</v>
      </c>
      <c r="AC78">
        <v>76</v>
      </c>
    </row>
    <row r="79" spans="28:29" x14ac:dyDescent="0.3">
      <c r="AB79" t="s">
        <v>44</v>
      </c>
      <c r="AC79">
        <v>77</v>
      </c>
    </row>
    <row r="80" spans="28:29" x14ac:dyDescent="0.3">
      <c r="AB80" t="s">
        <v>44</v>
      </c>
      <c r="AC80">
        <v>78</v>
      </c>
    </row>
    <row r="81" spans="28:29" x14ac:dyDescent="0.3">
      <c r="AB81" t="s">
        <v>44</v>
      </c>
      <c r="AC81">
        <v>79</v>
      </c>
    </row>
    <row r="82" spans="28:29" x14ac:dyDescent="0.3">
      <c r="AB82" t="s">
        <v>44</v>
      </c>
      <c r="AC82">
        <v>80</v>
      </c>
    </row>
    <row r="83" spans="28:29" x14ac:dyDescent="0.3">
      <c r="AB83" t="s">
        <v>44</v>
      </c>
      <c r="AC83">
        <v>81</v>
      </c>
    </row>
    <row r="84" spans="28:29" x14ac:dyDescent="0.3">
      <c r="AB84" t="s">
        <v>44</v>
      </c>
      <c r="AC84">
        <v>82</v>
      </c>
    </row>
    <row r="85" spans="28:29" x14ac:dyDescent="0.3">
      <c r="AB85" t="s">
        <v>44</v>
      </c>
      <c r="AC85">
        <v>83</v>
      </c>
    </row>
    <row r="86" spans="28:29" x14ac:dyDescent="0.3">
      <c r="AB86" t="s">
        <v>44</v>
      </c>
      <c r="AC86">
        <v>84</v>
      </c>
    </row>
    <row r="87" spans="28:29" x14ac:dyDescent="0.3">
      <c r="AB87" t="s">
        <v>44</v>
      </c>
      <c r="AC87">
        <v>85</v>
      </c>
    </row>
    <row r="88" spans="28:29" x14ac:dyDescent="0.3">
      <c r="AB88" t="s">
        <v>44</v>
      </c>
      <c r="AC88">
        <v>86</v>
      </c>
    </row>
    <row r="89" spans="28:29" x14ac:dyDescent="0.3">
      <c r="AB89" t="s">
        <v>44</v>
      </c>
      <c r="AC89">
        <v>87</v>
      </c>
    </row>
    <row r="90" spans="28:29" x14ac:dyDescent="0.3">
      <c r="AB90" t="s">
        <v>44</v>
      </c>
      <c r="AC90">
        <v>88</v>
      </c>
    </row>
    <row r="91" spans="28:29" x14ac:dyDescent="0.3">
      <c r="AB91" t="s">
        <v>44</v>
      </c>
      <c r="AC91">
        <v>89</v>
      </c>
    </row>
    <row r="92" spans="28:29" x14ac:dyDescent="0.3">
      <c r="AB92" t="s">
        <v>44</v>
      </c>
      <c r="AC92">
        <v>90</v>
      </c>
    </row>
    <row r="93" spans="28:29" x14ac:dyDescent="0.3">
      <c r="AB93" t="s">
        <v>44</v>
      </c>
      <c r="AC93">
        <v>91</v>
      </c>
    </row>
    <row r="94" spans="28:29" x14ac:dyDescent="0.3">
      <c r="AB94" t="s">
        <v>44</v>
      </c>
      <c r="AC94">
        <v>92</v>
      </c>
    </row>
    <row r="95" spans="28:29" x14ac:dyDescent="0.3">
      <c r="AB95" t="s">
        <v>44</v>
      </c>
      <c r="AC95">
        <v>93</v>
      </c>
    </row>
    <row r="96" spans="28:29" x14ac:dyDescent="0.3">
      <c r="AB96" t="s">
        <v>44</v>
      </c>
      <c r="AC96">
        <v>94</v>
      </c>
    </row>
    <row r="97" spans="28:29" x14ac:dyDescent="0.3">
      <c r="AB97" t="s">
        <v>44</v>
      </c>
      <c r="AC97">
        <v>95</v>
      </c>
    </row>
    <row r="98" spans="28:29" x14ac:dyDescent="0.3">
      <c r="AB98" t="s">
        <v>44</v>
      </c>
      <c r="AC98">
        <v>96</v>
      </c>
    </row>
    <row r="99" spans="28:29" x14ac:dyDescent="0.3">
      <c r="AB99" t="s">
        <v>44</v>
      </c>
      <c r="AC99">
        <v>97</v>
      </c>
    </row>
    <row r="100" spans="28:29" x14ac:dyDescent="0.3">
      <c r="AB100" t="s">
        <v>44</v>
      </c>
      <c r="AC100">
        <v>98</v>
      </c>
    </row>
    <row r="101" spans="28:29" x14ac:dyDescent="0.3">
      <c r="AB101" t="s">
        <v>44</v>
      </c>
      <c r="AC101">
        <v>99</v>
      </c>
    </row>
    <row r="102" spans="28:29" x14ac:dyDescent="0.3">
      <c r="AB102" t="s">
        <v>44</v>
      </c>
      <c r="AC102">
        <v>100</v>
      </c>
    </row>
    <row r="103" spans="28:29" x14ac:dyDescent="0.3">
      <c r="AB103" t="s">
        <v>44</v>
      </c>
      <c r="AC103">
        <v>101</v>
      </c>
    </row>
    <row r="104" spans="28:29" x14ac:dyDescent="0.3">
      <c r="AB104" t="s">
        <v>44</v>
      </c>
      <c r="AC104">
        <v>102</v>
      </c>
    </row>
    <row r="105" spans="28:29" x14ac:dyDescent="0.3">
      <c r="AB105" t="s">
        <v>44</v>
      </c>
      <c r="AC105">
        <v>103</v>
      </c>
    </row>
    <row r="106" spans="28:29" x14ac:dyDescent="0.3">
      <c r="AB106" t="s">
        <v>44</v>
      </c>
      <c r="AC106">
        <v>104</v>
      </c>
    </row>
    <row r="107" spans="28:29" x14ac:dyDescent="0.3">
      <c r="AB107" t="s">
        <v>44</v>
      </c>
      <c r="AC107">
        <v>105</v>
      </c>
    </row>
    <row r="108" spans="28:29" x14ac:dyDescent="0.3">
      <c r="AB108" t="s">
        <v>44</v>
      </c>
      <c r="AC108">
        <v>106</v>
      </c>
    </row>
    <row r="109" spans="28:29" x14ac:dyDescent="0.3">
      <c r="AB109" t="s">
        <v>44</v>
      </c>
      <c r="AC109">
        <v>107</v>
      </c>
    </row>
    <row r="110" spans="28:29" x14ac:dyDescent="0.3">
      <c r="AB110" t="s">
        <v>44</v>
      </c>
      <c r="AC110">
        <v>108</v>
      </c>
    </row>
    <row r="111" spans="28:29" x14ac:dyDescent="0.3">
      <c r="AB111" t="s">
        <v>44</v>
      </c>
      <c r="AC111">
        <v>109</v>
      </c>
    </row>
    <row r="112" spans="28:29" x14ac:dyDescent="0.3">
      <c r="AB112" t="s">
        <v>44</v>
      </c>
      <c r="AC112">
        <v>110</v>
      </c>
    </row>
    <row r="113" spans="28:29" x14ac:dyDescent="0.3">
      <c r="AB113" t="s">
        <v>44</v>
      </c>
      <c r="AC113">
        <v>111</v>
      </c>
    </row>
    <row r="114" spans="28:29" x14ac:dyDescent="0.3">
      <c r="AB114" t="s">
        <v>44</v>
      </c>
      <c r="AC114">
        <v>112</v>
      </c>
    </row>
    <row r="115" spans="28:29" x14ac:dyDescent="0.3">
      <c r="AB115" t="s">
        <v>44</v>
      </c>
      <c r="AC115">
        <v>113</v>
      </c>
    </row>
    <row r="116" spans="28:29" x14ac:dyDescent="0.3">
      <c r="AB116" t="s">
        <v>44</v>
      </c>
      <c r="AC116">
        <v>114</v>
      </c>
    </row>
    <row r="117" spans="28:29" x14ac:dyDescent="0.3">
      <c r="AB117" t="s">
        <v>44</v>
      </c>
      <c r="AC117">
        <v>115</v>
      </c>
    </row>
    <row r="118" spans="28:29" x14ac:dyDescent="0.3">
      <c r="AB118" t="s">
        <v>44</v>
      </c>
      <c r="AC118">
        <v>116</v>
      </c>
    </row>
    <row r="119" spans="28:29" x14ac:dyDescent="0.3">
      <c r="AB119" t="s">
        <v>44</v>
      </c>
      <c r="AC119">
        <v>117</v>
      </c>
    </row>
    <row r="120" spans="28:29" x14ac:dyDescent="0.3">
      <c r="AB120" t="s">
        <v>44</v>
      </c>
      <c r="AC120">
        <v>118</v>
      </c>
    </row>
    <row r="121" spans="28:29" x14ac:dyDescent="0.3">
      <c r="AB121" t="s">
        <v>44</v>
      </c>
      <c r="AC121">
        <v>119</v>
      </c>
    </row>
    <row r="122" spans="28:29" x14ac:dyDescent="0.3">
      <c r="AB122" t="s">
        <v>44</v>
      </c>
      <c r="AC122">
        <v>120</v>
      </c>
    </row>
    <row r="123" spans="28:29" x14ac:dyDescent="0.3">
      <c r="AB123" t="s">
        <v>44</v>
      </c>
      <c r="AC123">
        <v>121</v>
      </c>
    </row>
    <row r="124" spans="28:29" x14ac:dyDescent="0.3">
      <c r="AB124" t="s">
        <v>44</v>
      </c>
      <c r="AC124">
        <v>122</v>
      </c>
    </row>
    <row r="125" spans="28:29" x14ac:dyDescent="0.3">
      <c r="AB125" t="s">
        <v>44</v>
      </c>
      <c r="AC125">
        <v>123</v>
      </c>
    </row>
    <row r="126" spans="28:29" x14ac:dyDescent="0.3">
      <c r="AB126" t="s">
        <v>44</v>
      </c>
      <c r="AC126">
        <v>124</v>
      </c>
    </row>
    <row r="127" spans="28:29" x14ac:dyDescent="0.3">
      <c r="AB127" t="s">
        <v>44</v>
      </c>
      <c r="AC127">
        <v>125</v>
      </c>
    </row>
    <row r="128" spans="28:29" x14ac:dyDescent="0.3">
      <c r="AB128" t="s">
        <v>44</v>
      </c>
      <c r="AC128">
        <v>126</v>
      </c>
    </row>
    <row r="129" spans="28:29" x14ac:dyDescent="0.3">
      <c r="AB129" t="s">
        <v>44</v>
      </c>
      <c r="AC129">
        <v>127</v>
      </c>
    </row>
    <row r="130" spans="28:29" x14ac:dyDescent="0.3">
      <c r="AB130" t="s">
        <v>44</v>
      </c>
      <c r="AC130">
        <v>128</v>
      </c>
    </row>
    <row r="131" spans="28:29" x14ac:dyDescent="0.3">
      <c r="AB131" t="s">
        <v>44</v>
      </c>
      <c r="AC131">
        <v>129</v>
      </c>
    </row>
    <row r="132" spans="28:29" x14ac:dyDescent="0.3">
      <c r="AB132" t="s">
        <v>44</v>
      </c>
      <c r="AC132">
        <v>130</v>
      </c>
    </row>
    <row r="133" spans="28:29" x14ac:dyDescent="0.3">
      <c r="AB133" t="s">
        <v>44</v>
      </c>
      <c r="AC133">
        <v>131</v>
      </c>
    </row>
    <row r="134" spans="28:29" x14ac:dyDescent="0.3">
      <c r="AB134" t="s">
        <v>44</v>
      </c>
      <c r="AC134">
        <v>132</v>
      </c>
    </row>
    <row r="135" spans="28:29" x14ac:dyDescent="0.3">
      <c r="AB135" t="s">
        <v>44</v>
      </c>
      <c r="AC135">
        <v>133</v>
      </c>
    </row>
    <row r="136" spans="28:29" x14ac:dyDescent="0.3">
      <c r="AB136" t="s">
        <v>44</v>
      </c>
      <c r="AC136">
        <v>134</v>
      </c>
    </row>
    <row r="137" spans="28:29" x14ac:dyDescent="0.3">
      <c r="AB137" t="s">
        <v>44</v>
      </c>
      <c r="AC137">
        <v>135</v>
      </c>
    </row>
    <row r="138" spans="28:29" x14ac:dyDescent="0.3">
      <c r="AB138" t="s">
        <v>44</v>
      </c>
      <c r="AC138">
        <v>136</v>
      </c>
    </row>
    <row r="139" spans="28:29" x14ac:dyDescent="0.3">
      <c r="AB139" t="s">
        <v>44</v>
      </c>
      <c r="AC139">
        <v>137</v>
      </c>
    </row>
    <row r="140" spans="28:29" x14ac:dyDescent="0.3">
      <c r="AB140" t="s">
        <v>44</v>
      </c>
      <c r="AC140">
        <v>138</v>
      </c>
    </row>
    <row r="141" spans="28:29" x14ac:dyDescent="0.3">
      <c r="AB141" t="s">
        <v>44</v>
      </c>
      <c r="AC141">
        <v>139</v>
      </c>
    </row>
    <row r="142" spans="28:29" x14ac:dyDescent="0.3">
      <c r="AB142" t="s">
        <v>44</v>
      </c>
      <c r="AC142">
        <v>140</v>
      </c>
    </row>
    <row r="143" spans="28:29" x14ac:dyDescent="0.3">
      <c r="AB143" t="s">
        <v>44</v>
      </c>
      <c r="AC143">
        <v>141</v>
      </c>
    </row>
    <row r="144" spans="28:29" x14ac:dyDescent="0.3">
      <c r="AB144" t="s">
        <v>44</v>
      </c>
      <c r="AC144">
        <v>142</v>
      </c>
    </row>
    <row r="145" spans="28:29" x14ac:dyDescent="0.3">
      <c r="AB145" t="s">
        <v>44</v>
      </c>
      <c r="AC145">
        <v>143</v>
      </c>
    </row>
    <row r="146" spans="28:29" x14ac:dyDescent="0.3">
      <c r="AB146" t="s">
        <v>44</v>
      </c>
      <c r="AC146">
        <v>144</v>
      </c>
    </row>
    <row r="147" spans="28:29" x14ac:dyDescent="0.3">
      <c r="AB147" t="s">
        <v>44</v>
      </c>
      <c r="AC147">
        <v>145</v>
      </c>
    </row>
    <row r="148" spans="28:29" x14ac:dyDescent="0.3">
      <c r="AB148" t="s">
        <v>44</v>
      </c>
      <c r="AC148">
        <v>146</v>
      </c>
    </row>
    <row r="149" spans="28:29" x14ac:dyDescent="0.3">
      <c r="AB149" t="s">
        <v>44</v>
      </c>
      <c r="AC149">
        <v>147</v>
      </c>
    </row>
    <row r="150" spans="28:29" x14ac:dyDescent="0.3">
      <c r="AB150" t="s">
        <v>44</v>
      </c>
      <c r="AC150">
        <v>148</v>
      </c>
    </row>
    <row r="151" spans="28:29" x14ac:dyDescent="0.3">
      <c r="AB151" t="s">
        <v>44</v>
      </c>
      <c r="AC151">
        <v>149</v>
      </c>
    </row>
    <row r="152" spans="28:29" x14ac:dyDescent="0.3">
      <c r="AB152" t="s">
        <v>44</v>
      </c>
      <c r="AC152">
        <v>150</v>
      </c>
    </row>
    <row r="153" spans="28:29" x14ac:dyDescent="0.3">
      <c r="AB153" t="s">
        <v>44</v>
      </c>
      <c r="AC153">
        <v>151</v>
      </c>
    </row>
    <row r="154" spans="28:29" x14ac:dyDescent="0.3">
      <c r="AB154" t="s">
        <v>44</v>
      </c>
      <c r="AC154">
        <v>152</v>
      </c>
    </row>
    <row r="155" spans="28:29" x14ac:dyDescent="0.3">
      <c r="AB155" t="s">
        <v>44</v>
      </c>
      <c r="AC155">
        <v>153</v>
      </c>
    </row>
    <row r="156" spans="28:29" x14ac:dyDescent="0.3">
      <c r="AB156" t="s">
        <v>44</v>
      </c>
      <c r="AC156">
        <v>154</v>
      </c>
    </row>
    <row r="157" spans="28:29" x14ac:dyDescent="0.3">
      <c r="AB157" t="s">
        <v>44</v>
      </c>
      <c r="AC157">
        <v>155</v>
      </c>
    </row>
    <row r="158" spans="28:29" x14ac:dyDescent="0.3">
      <c r="AB158" t="s">
        <v>44</v>
      </c>
      <c r="AC158">
        <v>156</v>
      </c>
    </row>
    <row r="159" spans="28:29" x14ac:dyDescent="0.3">
      <c r="AB159" t="s">
        <v>44</v>
      </c>
      <c r="AC159">
        <v>157</v>
      </c>
    </row>
    <row r="160" spans="28:29" x14ac:dyDescent="0.3">
      <c r="AB160" t="s">
        <v>44</v>
      </c>
      <c r="AC160">
        <v>158</v>
      </c>
    </row>
    <row r="161" spans="28:29" x14ac:dyDescent="0.3">
      <c r="AB161" t="s">
        <v>44</v>
      </c>
      <c r="AC161">
        <v>159</v>
      </c>
    </row>
    <row r="162" spans="28:29" x14ac:dyDescent="0.3">
      <c r="AB162" t="s">
        <v>44</v>
      </c>
      <c r="AC162">
        <v>160</v>
      </c>
    </row>
    <row r="163" spans="28:29" x14ac:dyDescent="0.3">
      <c r="AB163" t="s">
        <v>44</v>
      </c>
      <c r="AC163">
        <v>161</v>
      </c>
    </row>
    <row r="164" spans="28:29" x14ac:dyDescent="0.3">
      <c r="AB164" t="s">
        <v>44</v>
      </c>
      <c r="AC164">
        <v>162</v>
      </c>
    </row>
    <row r="165" spans="28:29" x14ac:dyDescent="0.3">
      <c r="AB165" t="s">
        <v>44</v>
      </c>
      <c r="AC165">
        <v>163</v>
      </c>
    </row>
    <row r="166" spans="28:29" x14ac:dyDescent="0.3">
      <c r="AB166" t="s">
        <v>44</v>
      </c>
      <c r="AC166">
        <v>164</v>
      </c>
    </row>
    <row r="167" spans="28:29" x14ac:dyDescent="0.3">
      <c r="AB167" t="s">
        <v>44</v>
      </c>
      <c r="AC167">
        <v>165</v>
      </c>
    </row>
    <row r="168" spans="28:29" x14ac:dyDescent="0.3">
      <c r="AB168" t="s">
        <v>44</v>
      </c>
      <c r="AC168">
        <v>166</v>
      </c>
    </row>
    <row r="169" spans="28:29" x14ac:dyDescent="0.3">
      <c r="AB169" t="s">
        <v>44</v>
      </c>
      <c r="AC169">
        <v>167</v>
      </c>
    </row>
    <row r="170" spans="28:29" x14ac:dyDescent="0.3">
      <c r="AB170" t="s">
        <v>44</v>
      </c>
      <c r="AC170">
        <v>168</v>
      </c>
    </row>
    <row r="171" spans="28:29" x14ac:dyDescent="0.3">
      <c r="AB171" t="s">
        <v>44</v>
      </c>
      <c r="AC171">
        <v>169</v>
      </c>
    </row>
    <row r="172" spans="28:29" x14ac:dyDescent="0.3">
      <c r="AB172" t="s">
        <v>44</v>
      </c>
      <c r="AC172">
        <v>170</v>
      </c>
    </row>
    <row r="173" spans="28:29" x14ac:dyDescent="0.3">
      <c r="AB173" t="s">
        <v>44</v>
      </c>
      <c r="AC173">
        <v>171</v>
      </c>
    </row>
    <row r="174" spans="28:29" x14ac:dyDescent="0.3">
      <c r="AB174" t="s">
        <v>44</v>
      </c>
      <c r="AC174">
        <v>172</v>
      </c>
    </row>
    <row r="175" spans="28:29" x14ac:dyDescent="0.3">
      <c r="AB175" t="s">
        <v>44</v>
      </c>
      <c r="AC175">
        <v>173</v>
      </c>
    </row>
    <row r="176" spans="28:29" x14ac:dyDescent="0.3">
      <c r="AB176" t="s">
        <v>44</v>
      </c>
      <c r="AC176">
        <v>174</v>
      </c>
    </row>
    <row r="177" spans="28:29" x14ac:dyDescent="0.3">
      <c r="AB177" t="s">
        <v>44</v>
      </c>
      <c r="AC177">
        <v>175</v>
      </c>
    </row>
    <row r="178" spans="28:29" x14ac:dyDescent="0.3">
      <c r="AB178" t="s">
        <v>44</v>
      </c>
      <c r="AC178">
        <v>176</v>
      </c>
    </row>
    <row r="179" spans="28:29" x14ac:dyDescent="0.3">
      <c r="AB179" t="s">
        <v>44</v>
      </c>
      <c r="AC179">
        <v>177</v>
      </c>
    </row>
    <row r="180" spans="28:29" x14ac:dyDescent="0.3">
      <c r="AB180" t="s">
        <v>44</v>
      </c>
      <c r="AC180">
        <v>178</v>
      </c>
    </row>
    <row r="181" spans="28:29" x14ac:dyDescent="0.3">
      <c r="AB181" t="s">
        <v>44</v>
      </c>
      <c r="AC181">
        <v>179</v>
      </c>
    </row>
  </sheetData>
  <phoneticPr fontId="3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BaselineMesh</vt:lpstr>
      <vt:lpstr>BaselinePPVC</vt:lpstr>
      <vt:lpstr>BaselineXtended</vt:lpstr>
      <vt:lpstr>BaselineSlice</vt:lpstr>
      <vt:lpstr>CFC_Voltage</vt:lpstr>
      <vt:lpstr>CFC_Frequency</vt:lpstr>
      <vt:lpstr>IA_Voltage</vt:lpstr>
      <vt:lpstr>IA_Frequency LO</vt:lpstr>
      <vt:lpstr>IA_Frequency HI</vt:lpstr>
      <vt:lpstr>TSL_3sBreadth</vt:lpstr>
      <vt:lpstr>TSL_1sBreadth</vt:lpstr>
      <vt:lpstr>TSL_500msBreadth</vt:lpstr>
      <vt:lpstr>TSL_100msBreadth</vt:lpstr>
      <vt:lpstr>TSL_3sBR</vt:lpstr>
      <vt:lpstr>TSL_1sBR</vt:lpstr>
      <vt:lpstr>TSL_500msBR</vt:lpstr>
      <vt:lpstr>TSL_100msBR</vt:lpstr>
      <vt:lpstr>TSL_3sDepth</vt:lpstr>
      <vt:lpstr>TSL_1sDepth</vt:lpstr>
      <vt:lpstr>TSL_500msDepth</vt:lpstr>
      <vt:lpstr>TSL_100msDepth</vt:lpstr>
      <vt:lpstr>MLC</vt:lpstr>
      <vt:lpstr>Sandstone</vt:lpstr>
      <vt:lpstr>MiscData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 Ballestero, Gabriel</dc:creator>
  <cp:lastModifiedBy>Espinoza Ballestero, Gabriel</cp:lastModifiedBy>
  <dcterms:created xsi:type="dcterms:W3CDTF">2025-04-08T16:34:51Z</dcterms:created>
  <dcterms:modified xsi:type="dcterms:W3CDTF">2025-11-20T22:38:21Z</dcterms:modified>
</cp:coreProperties>
</file>